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44BE105-90BF-4C4C-9974-39DDF68F1AB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ecutive_Summary" sheetId="1" r:id="rId1"/>
    <sheet name="Raw_BRSR_Data" sheetId="2" r:id="rId2"/>
    <sheet name="Calculations" sheetId="3" r:id="rId3"/>
    <sheet name="Initiatives_Tracker" sheetId="4" r:id="rId4"/>
  </sheets>
  <definedNames>
    <definedName name="_xlnm._FilterDatabase" localSheetId="3" hidden="1">Initiatives_Tracker!$A$2:$F$30</definedName>
    <definedName name="_xlnm._FilterDatabase" localSheetId="1" hidden="1">Raw_BRSR_Data!$A$1:$H$118</definedName>
    <definedName name="_xlnm.Print_Titles" localSheetId="1">Raw_BRSR_Data!$1:$1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3" l="1"/>
  <c r="B2" i="3"/>
  <c r="C9" i="3"/>
  <c r="C16" i="3" s="1"/>
  <c r="D9" i="3"/>
  <c r="D16" i="3" s="1"/>
  <c r="E9" i="3"/>
  <c r="B5" i="3"/>
  <c r="B6" i="3"/>
  <c r="B7" i="3"/>
  <c r="B8" i="3"/>
  <c r="B36" i="4"/>
  <c r="D35" i="4"/>
  <c r="B35" i="4"/>
  <c r="D34" i="4"/>
  <c r="B34" i="4"/>
  <c r="E30" i="4"/>
  <c r="F30" i="4" s="1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F60" i="3"/>
  <c r="E60" i="3"/>
  <c r="D60" i="3"/>
  <c r="C60" i="3"/>
  <c r="C56" i="3"/>
  <c r="D55" i="3"/>
  <c r="C55" i="3"/>
  <c r="C54" i="3"/>
  <c r="C57" i="3" s="1"/>
  <c r="F45" i="3"/>
  <c r="E45" i="3"/>
  <c r="D45" i="3"/>
  <c r="C45" i="3"/>
  <c r="F33" i="3"/>
  <c r="E33" i="3"/>
  <c r="D33" i="3"/>
  <c r="C33" i="3"/>
  <c r="F19" i="3"/>
  <c r="E19" i="3"/>
  <c r="D19" i="3"/>
  <c r="C19" i="3"/>
  <c r="F10" i="3"/>
  <c r="E10" i="3"/>
  <c r="D10" i="3"/>
  <c r="C10" i="3"/>
  <c r="H118" i="2"/>
  <c r="D36" i="4" s="1"/>
  <c r="H115" i="2"/>
  <c r="H109" i="2"/>
  <c r="G87" i="2"/>
  <c r="G83" i="2"/>
  <c r="G80" i="2"/>
  <c r="G76" i="2"/>
  <c r="F66" i="2"/>
  <c r="F62" i="2"/>
  <c r="H34" i="2"/>
  <c r="G34" i="2"/>
  <c r="F34" i="2"/>
  <c r="E34" i="2"/>
  <c r="H22" i="2"/>
  <c r="G22" i="2"/>
  <c r="F22" i="2"/>
  <c r="E22" i="2"/>
  <c r="H12" i="2"/>
  <c r="G12" i="2"/>
  <c r="H4" i="2"/>
  <c r="G4" i="2"/>
  <c r="D56" i="3" l="1"/>
  <c r="F24" i="4"/>
  <c r="F11" i="4"/>
  <c r="F7" i="4"/>
  <c r="H33" i="1"/>
  <c r="B3" i="3"/>
  <c r="F15" i="3"/>
  <c r="F38" i="3"/>
  <c r="F16" i="3"/>
  <c r="E16" i="3"/>
  <c r="E38" i="3"/>
  <c r="E15" i="3"/>
  <c r="F25" i="4"/>
  <c r="F23" i="4"/>
  <c r="F15" i="4"/>
  <c r="F14" i="4"/>
  <c r="F10" i="4"/>
  <c r="F6" i="4"/>
  <c r="F3" i="4"/>
  <c r="D54" i="3"/>
  <c r="F21" i="4"/>
  <c r="F28" i="4"/>
  <c r="F26" i="4"/>
  <c r="F20" i="4"/>
  <c r="F19" i="4"/>
  <c r="F18" i="4"/>
  <c r="F17" i="4"/>
  <c r="F16" i="4"/>
  <c r="F13" i="4"/>
  <c r="F12" i="4"/>
  <c r="F9" i="4"/>
  <c r="F8" i="4"/>
  <c r="F5" i="4"/>
  <c r="F22" i="4"/>
  <c r="C36" i="4"/>
  <c r="E36" i="4" s="1"/>
  <c r="F29" i="4"/>
  <c r="F27" i="4"/>
  <c r="C35" i="4"/>
  <c r="E35" i="4" s="1"/>
  <c r="C34" i="4"/>
  <c r="E34" i="4" s="1"/>
  <c r="F4" i="4"/>
  <c r="F30" i="3"/>
  <c r="F46" i="3"/>
  <c r="F27" i="3"/>
  <c r="F28" i="3"/>
  <c r="F41" i="3"/>
  <c r="F34" i="3"/>
  <c r="F37" i="3"/>
  <c r="F35" i="3"/>
  <c r="F22" i="3"/>
  <c r="F21" i="3"/>
  <c r="F20" i="3"/>
  <c r="F12" i="3"/>
  <c r="F11" i="3"/>
  <c r="F48" i="3"/>
  <c r="F29" i="3"/>
  <c r="F47" i="3"/>
  <c r="F36" i="3"/>
  <c r="E30" i="3"/>
  <c r="E27" i="3"/>
  <c r="E47" i="3"/>
  <c r="E41" i="3"/>
  <c r="E48" i="3"/>
  <c r="E22" i="3"/>
  <c r="E20" i="3"/>
  <c r="E36" i="3"/>
  <c r="E28" i="3"/>
  <c r="E29" i="3"/>
  <c r="E11" i="3"/>
  <c r="E21" i="3"/>
  <c r="E46" i="3"/>
  <c r="E37" i="3"/>
  <c r="E35" i="3"/>
  <c r="E34" i="3"/>
  <c r="E12" i="3"/>
  <c r="D37" i="3"/>
  <c r="D21" i="3"/>
  <c r="D36" i="3"/>
  <c r="D48" i="3"/>
  <c r="D20" i="3"/>
  <c r="D15" i="3"/>
  <c r="D34" i="3"/>
  <c r="D28" i="3"/>
  <c r="D12" i="3"/>
  <c r="D35" i="3"/>
  <c r="D27" i="3"/>
  <c r="D22" i="3"/>
  <c r="D11" i="3"/>
  <c r="D30" i="3"/>
  <c r="D29" i="3"/>
  <c r="D47" i="3"/>
  <c r="D46" i="3"/>
  <c r="D41" i="3"/>
  <c r="D38" i="3"/>
  <c r="C21" i="3"/>
  <c r="C41" i="3"/>
  <c r="C35" i="3"/>
  <c r="C47" i="3"/>
  <c r="C20" i="3"/>
  <c r="C48" i="3"/>
  <c r="C15" i="3"/>
  <c r="C34" i="3"/>
  <c r="C30" i="3"/>
  <c r="C38" i="3"/>
  <c r="C28" i="3"/>
  <c r="C29" i="3"/>
  <c r="C11" i="3"/>
  <c r="C27" i="3"/>
  <c r="C22" i="3"/>
  <c r="C36" i="3"/>
  <c r="C46" i="3"/>
  <c r="C37" i="3"/>
  <c r="C12" i="3"/>
  <c r="G19" i="3"/>
  <c r="G33" i="3"/>
  <c r="G10" i="3"/>
  <c r="G45" i="3"/>
  <c r="E39" i="3" l="1"/>
  <c r="E40" i="3" s="1"/>
  <c r="C23" i="3"/>
  <c r="F49" i="3"/>
  <c r="F64" i="3"/>
  <c r="F26" i="3"/>
  <c r="G26" i="3" s="1"/>
  <c r="E11" i="1" s="1"/>
  <c r="F23" i="3"/>
  <c r="F13" i="3"/>
  <c r="F14" i="3" s="1"/>
  <c r="F50" i="3"/>
  <c r="F65" i="3"/>
  <c r="E50" i="3"/>
  <c r="E65" i="3"/>
  <c r="E23" i="3"/>
  <c r="E26" i="3"/>
  <c r="E13" i="3"/>
  <c r="E49" i="3"/>
  <c r="E64" i="3"/>
  <c r="D23" i="3"/>
  <c r="D26" i="3"/>
  <c r="D13" i="3"/>
  <c r="D50" i="3"/>
  <c r="D65" i="3"/>
  <c r="D49" i="3"/>
  <c r="D64" i="3"/>
  <c r="C50" i="3"/>
  <c r="C65" i="3"/>
  <c r="C13" i="3"/>
  <c r="C49" i="3"/>
  <c r="C64" i="3"/>
  <c r="G11" i="3"/>
  <c r="G12" i="3"/>
  <c r="G16" i="3"/>
  <c r="G20" i="3"/>
  <c r="G21" i="3"/>
  <c r="G28" i="3"/>
  <c r="G29" i="3"/>
  <c r="G30" i="3"/>
  <c r="G22" i="3"/>
  <c r="G27" i="3"/>
  <c r="G34" i="3"/>
  <c r="G35" i="3"/>
  <c r="G36" i="3"/>
  <c r="G37" i="3"/>
  <c r="G38" i="3"/>
  <c r="G41" i="3"/>
  <c r="G15" i="3"/>
  <c r="G46" i="3"/>
  <c r="G47" i="3"/>
  <c r="K11" i="1" s="1"/>
  <c r="G48" i="3"/>
  <c r="F66" i="3"/>
  <c r="G66" i="3" s="1"/>
  <c r="F39" i="3"/>
  <c r="D39" i="3"/>
  <c r="C39" i="3"/>
  <c r="G39" i="3" l="1"/>
  <c r="H9" i="1" s="1"/>
  <c r="G49" i="3"/>
  <c r="K12" i="1" s="1"/>
  <c r="C63" i="3"/>
  <c r="C24" i="3"/>
  <c r="C25" i="3" s="1"/>
  <c r="C61" i="3"/>
  <c r="C14" i="3"/>
  <c r="E42" i="3"/>
  <c r="E62" i="3"/>
  <c r="G23" i="3"/>
  <c r="G50" i="3"/>
  <c r="K9" i="1" s="1"/>
  <c r="G64" i="3"/>
  <c r="F24" i="3"/>
  <c r="F63" i="3"/>
  <c r="E63" i="3"/>
  <c r="E24" i="3"/>
  <c r="E25" i="3" s="1"/>
  <c r="D24" i="3"/>
  <c r="D25" i="3" s="1"/>
  <c r="D63" i="3"/>
  <c r="F42" i="3"/>
  <c r="F40" i="3"/>
  <c r="F62" i="3"/>
  <c r="D42" i="3"/>
  <c r="D40" i="3"/>
  <c r="D62" i="3"/>
  <c r="C42" i="3"/>
  <c r="C40" i="3"/>
  <c r="C62" i="3"/>
  <c r="E12" i="1"/>
  <c r="G65" i="3"/>
  <c r="F61" i="3"/>
  <c r="G13" i="3"/>
  <c r="E61" i="3"/>
  <c r="E14" i="3"/>
  <c r="D61" i="3"/>
  <c r="D14" i="3"/>
  <c r="G14" i="3" l="1"/>
  <c r="B11" i="1" s="1"/>
  <c r="G61" i="3"/>
  <c r="G42" i="3"/>
  <c r="H11" i="1" s="1"/>
  <c r="G40" i="3"/>
  <c r="H12" i="1" s="1"/>
  <c r="G24" i="3"/>
  <c r="F25" i="3"/>
  <c r="G25" i="3" s="1"/>
  <c r="E9" i="1" s="1"/>
  <c r="B12" i="1"/>
  <c r="B9" i="1"/>
  <c r="G63" i="3"/>
  <c r="G62" i="3"/>
  <c r="G6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24" authorId="0" shapeId="0" xr:uid="{00000000-0006-0000-01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Restated as per FY 2024-25 report due to PPP conversion rate update</t>
        </r>
      </text>
    </comment>
    <comment ref="G24" authorId="0" shapeId="0" xr:uid="{00000000-0006-0000-01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Restated as per FY 2024-25 report due to PPP conversion rate update</t>
        </r>
      </text>
    </comment>
    <comment ref="E34" authorId="0" shapeId="0" xr:uid="{00000000-0006-0000-0100-000001000000}">
      <text>
        <r>
          <rPr>
            <sz val="10"/>
            <rFont val="Arial"/>
            <family val="2"/>
          </rPr>
          <t>Audit fix: range corrected from rows 23-33 to 26-33 (original also summed intensity rows 23-25). Same fix in F34.</t>
        </r>
      </text>
    </comment>
    <comment ref="G41" authorId="0" shapeId="0" xr:uid="{00000000-0006-0000-0100-000004000000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Updated As per 2025 Report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2" authorId="0" shapeId="0" xr:uid="{00000000-0006-0000-0300-000001000000}">
      <text>
        <r>
          <rPr>
            <sz val="10"/>
            <rFont val="Arial"/>
            <family val="2"/>
          </rPr>
          <t>Fuel savings carry no unit in the raw sheet (D116:D118 are blank). Confirm KL vs GJ before quoting.</t>
        </r>
      </text>
    </comment>
  </commentList>
</comments>
</file>

<file path=xl/sharedStrings.xml><?xml version="1.0" encoding="utf-8"?>
<sst xmlns="http://schemas.openxmlformats.org/spreadsheetml/2006/main" count="758" uniqueCount="290">
  <si>
    <t>SEBI BRSR environmental disclosures  |  FY 2022-23 to FY 2025-26  |  Units: MJ, tCO₂e, KL, MT</t>
  </si>
  <si>
    <t>FY 2025-26</t>
  </si>
  <si>
    <t>⚡ TOTAL ENERGY CONSUMED</t>
  </si>
  <si>
    <t>📉 TOTAL GHG EMISSIONS (S1+S2+S3)</t>
  </si>
  <si>
    <t>💧 WATER CONSUMPTION &amp; REUSE</t>
  </si>
  <si>
    <t>♻️ WASTE CIRCULARITY RATE</t>
  </si>
  <si>
    <t>📊  Energy Mix: Renewable vs Non-Renewable (million MJ)</t>
  </si>
  <si>
    <t>📈  Decarbonization Trajectory: Scope 1 &amp; 2 (bars) vs Scope 3 (line)</t>
  </si>
  <si>
    <t>🌊  Water Conservation Shift: Groundwater vs Water Saved / Reclaimed (KL)</t>
  </si>
  <si>
    <t>Notes: (1) Waste donut shows Recycled, Disposed and Other / Not classified so slices always add to total generated. (2) Water Consumption is total withdrawal from all sources; Reclaimed is the sum of water-initiative savings in the raw data (none reported for FY 2022-23). (3) Scope 1 change is year-on-year; attribution to fuel-switch initiatives is not quantified in the BRSR data. Full assumptions: Calculations tab.</t>
  </si>
  <si>
    <t xml:space="preserve">S.No </t>
  </si>
  <si>
    <t>Category</t>
  </si>
  <si>
    <t>Metric</t>
  </si>
  <si>
    <t>Unit</t>
  </si>
  <si>
    <t>FY 2022-23</t>
  </si>
  <si>
    <t>FY 2023-2024</t>
  </si>
  <si>
    <t>FY 2024-2025</t>
  </si>
  <si>
    <t>FY 2025-2026</t>
  </si>
  <si>
    <t>Energy</t>
  </si>
  <si>
    <t>Total Energy from Renewable Sources</t>
  </si>
  <si>
    <t>MJ</t>
  </si>
  <si>
    <t>Total Energy from Non-Renewable Sources</t>
  </si>
  <si>
    <t>Total Energy Consumed (Grand Total)</t>
  </si>
  <si>
    <t>Energy Intensity (per Rupee of Turnover)</t>
  </si>
  <si>
    <t>MJ/Rupee</t>
  </si>
  <si>
    <t>Energy intensity (per MT of Product)</t>
  </si>
  <si>
    <t>MJ/MT</t>
  </si>
  <si>
    <t>Water</t>
  </si>
  <si>
    <t>Surface Water Withdrawal</t>
  </si>
  <si>
    <t>kl</t>
  </si>
  <si>
    <t>Groundwater Withdrawal</t>
  </si>
  <si>
    <t>Third Party Water Withdrawal</t>
  </si>
  <si>
    <t>Seawater / Desalinated Water</t>
  </si>
  <si>
    <t>-</t>
  </si>
  <si>
    <t>Rainwater / Others</t>
  </si>
  <si>
    <t>Total Water Consumption (Grand Total)</t>
  </si>
  <si>
    <t xml:space="preserve">Air Emissions </t>
  </si>
  <si>
    <t>NOx (Nitrogen Oxides)</t>
  </si>
  <si>
    <t>Tonnage (t)</t>
  </si>
  <si>
    <t>SOx (Sulphur Oxides)</t>
  </si>
  <si>
    <t>Particulate Matter (PM)</t>
  </si>
  <si>
    <t>Persistent Organic Pollutants (POP)</t>
  </si>
  <si>
    <t>N/A</t>
  </si>
  <si>
    <t>Volatile Organic Compounds (VOC)</t>
  </si>
  <si>
    <t>Hazardous Air Pollutants (HAP)</t>
  </si>
  <si>
    <t xml:space="preserve">Others </t>
  </si>
  <si>
    <t xml:space="preserve">GHG Emissions </t>
  </si>
  <si>
    <t>Total Scope 1 Emissions</t>
  </si>
  <si>
    <t>Metric tonnes of CO2 equivalent</t>
  </si>
  <si>
    <t>Total Scope 2 Emissions</t>
  </si>
  <si>
    <t>Total Scope 1 + Scope 2 Emissions (Sum)</t>
  </si>
  <si>
    <t>Scope 1 &amp; 2 Emission Intensity (per Rupee of Turnover)</t>
  </si>
  <si>
    <t>MT CO2 eq. / Rupee</t>
  </si>
  <si>
    <t>Scope 1 &amp; 2 Emission Intensity adjusted for PPP</t>
  </si>
  <si>
    <t>MT CO2 eq. / USD</t>
  </si>
  <si>
    <t>Scope 1 &amp; 2 Emission Intensity (in terms of Physical Output)</t>
  </si>
  <si>
    <t>MT CO2 eq. / MT of Product</t>
  </si>
  <si>
    <t>Waste</t>
  </si>
  <si>
    <t>Plastic Waste</t>
  </si>
  <si>
    <t>Metric Tonnes</t>
  </si>
  <si>
    <t>E-Waste</t>
  </si>
  <si>
    <t>Bio-medical Waste</t>
  </si>
  <si>
    <t>Construction &amp; Demolition Waste</t>
  </si>
  <si>
    <t>Battery Waste</t>
  </si>
  <si>
    <t>Radioactive Waste</t>
  </si>
  <si>
    <t>Other Hazardous Waste</t>
  </si>
  <si>
    <t>Other Non-Hazardous Waste</t>
  </si>
  <si>
    <t>Total Waste Generated</t>
  </si>
  <si>
    <t>Waste Recycled</t>
  </si>
  <si>
    <t>Waste Disposed</t>
  </si>
  <si>
    <t xml:space="preserve">Waste </t>
  </si>
  <si>
    <t>Waste Intensity (per Rupee of Turnover)</t>
  </si>
  <si>
    <t>MT / Rupee</t>
  </si>
  <si>
    <t>Waste Intensity</t>
  </si>
  <si>
    <t>MT / MT</t>
  </si>
  <si>
    <t>GHG Emissions</t>
  </si>
  <si>
    <t>Total Scope 3 Emissions</t>
  </si>
  <si>
    <t>Total Scope 3 Emissions per Rupee of Turnover</t>
  </si>
  <si>
    <t>Total Scope 3 Emission Intensity (Physical Output)</t>
  </si>
  <si>
    <t>Energy Intiatives</t>
  </si>
  <si>
    <t>Installation of Air Pre-heater in HWG</t>
  </si>
  <si>
    <t>kWh</t>
  </si>
  <si>
    <t>TRM motor rating reduction on L2</t>
  </si>
  <si>
    <t>Dedicated Brine chillers for Stampers for both Lines</t>
  </si>
  <si>
    <t>Dedicated Water chiller for Both Lines</t>
  </si>
  <si>
    <t>Roof Top Solar Panel 315kva</t>
  </si>
  <si>
    <t>Shrink Wrap Machine-reducing heater numbers</t>
  </si>
  <si>
    <t>Eliminate cold well pump in water chiller</t>
  </si>
  <si>
    <t>Replacement of water chiller in soap plant line 1</t>
  </si>
  <si>
    <t>Replacement of compressed worm with Linear worm line 3</t>
  </si>
  <si>
    <t>Unigas Burner in HAG</t>
  </si>
  <si>
    <t>Installing 15 KW VFD + replacing 18.5KW compressor</t>
  </si>
  <si>
    <t>Extruder 30HP Motor replaced with 25HP motor in M/C 1</t>
  </si>
  <si>
    <t>Replacement of USN 3 stamper with IMSA</t>
  </si>
  <si>
    <t>Reduce UB cutter motor size on Line-2</t>
  </si>
  <si>
    <t>Installation of VSD vacuum pump</t>
  </si>
  <si>
    <t>Air pressure reduction from 7.5 bar to 6.5 bar</t>
  </si>
  <si>
    <t>7.5HP motor to be replaced with 5HP in both machine hopper</t>
  </si>
  <si>
    <t>VFD for RC Fans</t>
  </si>
  <si>
    <t>1 HVLS fan installation in place of 18 wall mounting fans</t>
  </si>
  <si>
    <t>Reduce no. of light in RM/PM by installing flood light</t>
  </si>
  <si>
    <t>Total Energy Saved</t>
  </si>
  <si>
    <t>Dehumidifier system</t>
  </si>
  <si>
    <t>KL</t>
  </si>
  <si>
    <t>Installation of Eco 365 tapes in canteen and toilets</t>
  </si>
  <si>
    <t>Reduction of water holding capacity of Hot/Cold well of chillers</t>
  </si>
  <si>
    <t>Total Water Saved</t>
  </si>
  <si>
    <t>Co Generation - 25 TPH Steam &amp; 1.5 MW Power</t>
  </si>
  <si>
    <t>Installation of mechanical seals in chemical pump</t>
  </si>
  <si>
    <t>New CSP - Energy Efficient vacuum pumps</t>
  </si>
  <si>
    <t>Modification in Brine Chiller (2 Stampers)</t>
  </si>
  <si>
    <t>Water Chillers in Utility for line 2 &amp; 3</t>
  </si>
  <si>
    <t>Replacement of Compressed Worm with Linear Worm</t>
  </si>
  <si>
    <t>Chiller replacement (Water &amp; Brine)</t>
  </si>
  <si>
    <t>Waste heat recovery system for air compressor</t>
  </si>
  <si>
    <t>New VFD based Compressor</t>
  </si>
  <si>
    <t>Total Energy Saving</t>
  </si>
  <si>
    <t>Kwh</t>
  </si>
  <si>
    <t>Thermic Fluid Heater pump replacement</t>
  </si>
  <si>
    <t>AI enabled gas Burner (Thermopack TP 25)</t>
  </si>
  <si>
    <t>Unigas Burner for Energy &amp; Natural Gas</t>
  </si>
  <si>
    <t>Total Fuel Saving</t>
  </si>
  <si>
    <t>Condensate recovery (Malanpur SM1 Steam</t>
  </si>
  <si>
    <t>MT</t>
  </si>
  <si>
    <t>Nitrogen Flushing instead of direct Steam</t>
  </si>
  <si>
    <t>Total Steam Saving</t>
  </si>
  <si>
    <t>Additional water treatment plant in ETP tera</t>
  </si>
  <si>
    <t>Utilization of cogen reject water in WTP</t>
  </si>
  <si>
    <t>Reutilization of back wash water in ash quenching</t>
  </si>
  <si>
    <t>Total Water Saving</t>
  </si>
  <si>
    <t>Energy Initiatives</t>
  </si>
  <si>
    <t>Co-Generation - 25 TPH Steam and 1.5 MW Power</t>
  </si>
  <si>
    <t>Self-consumed electrical energy reduction in CoGen Plant by 12%</t>
  </si>
  <si>
    <t>Air Compressor Specific Power Reduction by 25% for GERC Malanpur</t>
  </si>
  <si>
    <t>Dedicated Brine chiller for Unit 2</t>
  </si>
  <si>
    <t>Chiller replacement 110 TR by energy efficient 130 TR</t>
  </si>
  <si>
    <t>Energy Efficient Shrink Tunnel Machine Installation</t>
  </si>
  <si>
    <t>Energy Efficient Wall Fans Installation</t>
  </si>
  <si>
    <t>Eliminated spiral conveyor &amp; installed flat conveyor for packing</t>
  </si>
  <si>
    <t>Energy Efficient Exhaust Fans Installation</t>
  </si>
  <si>
    <t>Interlocking of S conveyor with wrapping machine</t>
  </si>
  <si>
    <t>Chiller and CT interlocking in GERC</t>
  </si>
  <si>
    <t>37KW mixer motor replaced with 30kw motor</t>
  </si>
  <si>
    <t>VFD installation on water chiller for power utilization</t>
  </si>
  <si>
    <t>Installed timer in admin and Lab AC unit</t>
  </si>
  <si>
    <t>Eliminated 6 small conveyors from Line by layout correction</t>
  </si>
  <si>
    <t>Energy efficient fan for process cooling towers</t>
  </si>
  <si>
    <t>Replacement of motor &amp; blower with EC fan motor in micro lab AHU</t>
  </si>
  <si>
    <t>Chilling water circulation 5kw pump replaced with 3kw pump</t>
  </si>
  <si>
    <t>Replacement of wall mounted fans with HVLS fan on shop floor</t>
  </si>
  <si>
    <t>Water Preheating system through HAG 2 flue gas</t>
  </si>
  <si>
    <t>IE 2 to IE 4 energy saving motor changed</t>
  </si>
  <si>
    <t>Water Initiatives</t>
  </si>
  <si>
    <t>Reused for Cogen RO Reject water of TDS around 500</t>
  </si>
  <si>
    <t>All taps replaced with water efficient taps in Malanpur plant</t>
  </si>
  <si>
    <t>Condensate water reuse in CSP/New CSP</t>
  </si>
  <si>
    <t>Turbine blowdown condensate water reutilisation in Cogen</t>
  </si>
  <si>
    <t>Reclaimed Filter Backwash at Water Treatment Plant</t>
  </si>
  <si>
    <t>Fuel Intiatives</t>
  </si>
  <si>
    <t>Electric Boiler for Ilicit</t>
  </si>
  <si>
    <t>Usage of Biodiesel in Boiler</t>
  </si>
  <si>
    <t>Total Fuel Savings / Substitution</t>
  </si>
  <si>
    <t>Selected year (from dashboard dropdown)</t>
  </si>
  <si>
    <t>Selected year position (1-4)</t>
  </si>
  <si>
    <t>Dashboard label</t>
  </si>
  <si>
    <t>Raw sheet header</t>
  </si>
  <si>
    <t>FY 2023-24</t>
  </si>
  <si>
    <t>FY 2024-25</t>
  </si>
  <si>
    <t>1. ENERGY</t>
  </si>
  <si>
    <t>Source metric (Raw_BRSR_Data)</t>
  </si>
  <si>
    <t>Renewable Energy</t>
  </si>
  <si>
    <t>Non-Renewable Energy</t>
  </si>
  <si>
    <t>Total Energy Consumed</t>
  </si>
  <si>
    <t>Renewable + non-renewable</t>
  </si>
  <si>
    <t>Renewable Share</t>
  </si>
  <si>
    <t>%</t>
  </si>
  <si>
    <t>Energy Intensity (per MT of Product)</t>
  </si>
  <si>
    <t>2. EMISSIONS</t>
  </si>
  <si>
    <t>Scope 1 Emissions</t>
  </si>
  <si>
    <t>tCO2e</t>
  </si>
  <si>
    <t>Scope 2 Emissions</t>
  </si>
  <si>
    <t>Scope 3 Emissions</t>
  </si>
  <si>
    <t>Scope 1 + Scope 2</t>
  </si>
  <si>
    <t>Total GHG (Scope 1 + 2 + 3)</t>
  </si>
  <si>
    <t>MtCO2e</t>
  </si>
  <si>
    <t>tCO2e divided by 1,000,000</t>
  </si>
  <si>
    <t>Scope 1 change vs previous year</t>
  </si>
  <si>
    <t>Base year</t>
  </si>
  <si>
    <t>Scope 1 &amp; 2 Intensity (per Rupee of Turnover)</t>
  </si>
  <si>
    <t>MT CO2e/Rupee</t>
  </si>
  <si>
    <t>Scope 1 &amp; 2 Intensity (per MT of Product)</t>
  </si>
  <si>
    <t>MT CO2e/MT</t>
  </si>
  <si>
    <t>Scope 3 Intensity (per Rupee of Turnover)</t>
  </si>
  <si>
    <t>Scope 3 Intensity (per MT of Product)</t>
  </si>
  <si>
    <t>3a. WATER</t>
  </si>
  <si>
    <t>Total Water Consumption</t>
  </si>
  <si>
    <t>Groundwater Share of Total</t>
  </si>
  <si>
    <t>Water Saved / Reclaimed via Initiatives</t>
  </si>
  <si>
    <t>Reclaimed Share of Total Water</t>
  </si>
  <si>
    <t>3b. WASTE</t>
  </si>
  <si>
    <t>Sum of Raw_BRSR_Data rows 26-33 (eight waste types)</t>
  </si>
  <si>
    <t>Waste Recycled / Recovered</t>
  </si>
  <si>
    <t>Other / Not classified</t>
  </si>
  <si>
    <t>Generated minus recycled minus disposed</t>
  </si>
  <si>
    <t>Recovery Rate (Recycled / Generated)</t>
  </si>
  <si>
    <t>4. FY 2025-26 INITIATIVES</t>
  </si>
  <si>
    <t>Projects</t>
  </si>
  <si>
    <t>Total Savings</t>
  </si>
  <si>
    <t>Energy initiatives</t>
  </si>
  <si>
    <t>Water initiatives</t>
  </si>
  <si>
    <t>Fuel initiatives</t>
  </si>
  <si>
    <t>unit not stated</t>
  </si>
  <si>
    <t>Total projects</t>
  </si>
  <si>
    <t>5. AUDIT CHECKS (difference should be 0)</t>
  </si>
  <si>
    <t>Tolerance</t>
  </si>
  <si>
    <t>Status</t>
  </si>
  <si>
    <t>What it tests</t>
  </si>
  <si>
    <t>Energy: calculated total vs raw grand total</t>
  </si>
  <si>
    <t>Renewable + non-renewable equals the reported grand total</t>
  </si>
  <si>
    <t>Water: calculated total vs raw grand total</t>
  </si>
  <si>
    <t>Source split adds up to reported total</t>
  </si>
  <si>
    <t>GHG: Scope 1 + 2 vs raw sum</t>
  </si>
  <si>
    <t>Scope 1 and 2 add up to the reported sum</t>
  </si>
  <si>
    <t>Waste: calculated total vs raw total</t>
  </si>
  <si>
    <t>Eight waste types equal the raw total row</t>
  </si>
  <si>
    <t>Waste: recycled + disposed within generated</t>
  </si>
  <si>
    <t>Recovered plus disposed never exceeds generated</t>
  </si>
  <si>
    <t>Initiatives tracker vs raw totals</t>
  </si>
  <si>
    <t>Tracker category totals tie to raw total rows (FY 2025-26 only)</t>
  </si>
  <si>
    <t>Overall status</t>
  </si>
  <si>
    <t>AUDIT NOTES &amp; ASSUMPTIONS</t>
  </si>
  <si>
    <t>1. Raw_BRSR_Data!E34 and F34 originally summed rows 23-33, which includes three intensity rows. Corrected to rows 26-33. G34 and H34 were already correct. Impact: under 0.2 MT.</t>
  </si>
  <si>
    <t>2. Water initiative savings (rows 110-114) and fuel savings (rows 116-117) carry no unit in the raw sheet. Water is treated as KL, consistent with the FY 2024-25 block. Fuel unit is not stated; confirm KL vs GJ.</t>
  </si>
  <si>
    <t>3. 'Total Water Consumption' in the raw sheet is the sum of withdrawal sources. The dashboard labels it Water Consumption to match.</t>
  </si>
  <si>
    <t>4. Rainwater / Others falls from about 2.05 million KL (FY 2023-24) to about 26,700 KL (FY 2024-25). Total water falls with it. Confirm whether this is a real change or a reporting-boundary change.</t>
  </si>
  <si>
    <t>5. Raw_BRSR_Data!H24 (Scope 1 &amp; 2 intensity per USD, PPP) reads 8E-06 against about 1E-06 in prior years. Possible typo for 8E-07. Not used in any calculation.</t>
  </si>
  <si>
    <t>6. Waste 'Other / Not classified' is generated minus recycled minus disposed. It is 2,028 MT in FY 2024-25 and 117 MT in FY 2025-26, so the recovery rate is only comparable across years if the raw categories are complete.</t>
  </si>
  <si>
    <t>7. The Scope 1 change is a year-on-year figure (FY 2024-25 to FY 2025-26). Attribution to specific fuel-switch initiatives (biodiesel in boiler, electric boiler) is not quantified in the BRSR data.</t>
  </si>
  <si>
    <t>Project ID</t>
  </si>
  <si>
    <t>Initiative Name</t>
  </si>
  <si>
    <t>Location/Unit</t>
  </si>
  <si>
    <t>Savings (kWh/KL/GJ)</t>
  </si>
  <si>
    <t>Impact/Remarks</t>
  </si>
  <si>
    <t>EN-01</t>
  </si>
  <si>
    <t>Not specified</t>
  </si>
  <si>
    <t>EN-02</t>
  </si>
  <si>
    <t>CoGen Plant</t>
  </si>
  <si>
    <t>EN-03</t>
  </si>
  <si>
    <t>GERC, Malanpur</t>
  </si>
  <si>
    <t>EN-04</t>
  </si>
  <si>
    <t>Unit 2</t>
  </si>
  <si>
    <t>EN-05</t>
  </si>
  <si>
    <t>EN-06</t>
  </si>
  <si>
    <t>EN-07</t>
  </si>
  <si>
    <t>EN-08</t>
  </si>
  <si>
    <t>EN-09</t>
  </si>
  <si>
    <t>EN-10</t>
  </si>
  <si>
    <t>EN-11</t>
  </si>
  <si>
    <t>GERC</t>
  </si>
  <si>
    <t>EN-12</t>
  </si>
  <si>
    <t>EN-13</t>
  </si>
  <si>
    <t>EN-14</t>
  </si>
  <si>
    <t>EN-15</t>
  </si>
  <si>
    <t>EN-16</t>
  </si>
  <si>
    <t>EN-17</t>
  </si>
  <si>
    <t>EN-18</t>
  </si>
  <si>
    <t>EN-19</t>
  </si>
  <si>
    <t>EN-20</t>
  </si>
  <si>
    <t>EN-21</t>
  </si>
  <si>
    <t>WA-01</t>
  </si>
  <si>
    <t>CoGen</t>
  </si>
  <si>
    <t>WA-02</t>
  </si>
  <si>
    <t>Malanpur plant</t>
  </si>
  <si>
    <t>WA-03</t>
  </si>
  <si>
    <t>CSP / New CSP</t>
  </si>
  <si>
    <t>WA-04</t>
  </si>
  <si>
    <t>WA-05</t>
  </si>
  <si>
    <t>Water Treatment Plant</t>
  </si>
  <si>
    <t>FU-01</t>
  </si>
  <si>
    <t>Fuel</t>
  </si>
  <si>
    <t>FU-02</t>
  </si>
  <si>
    <t>Boiler</t>
  </si>
  <si>
    <t>Category totals &amp; reconciliation with Raw_BRSR_Data</t>
  </si>
  <si>
    <t>Raw sheet total</t>
  </si>
  <si>
    <t>Difference (should be 0)</t>
  </si>
  <si>
    <t>Totals are in different units (kWh, KL, unit not stated), so no grand total is shown.</t>
  </si>
  <si>
    <t xml:space="preserve"> Sustainability Initiatives Tracker</t>
  </si>
  <si>
    <t>Calculations</t>
  </si>
  <si>
    <t xml:space="preserve">Raw column </t>
  </si>
  <si>
    <t>Godrej Consumer Products Ltd.  Environmental &amp; Decarbonization Dashboard (BRSR 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</si>
</sst>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,,&quot;M MJ&quot;"/>
    <numFmt numFmtId="165" formatCode="0.000&quot; MtCO₂e&quot;"/>
    <numFmt numFmtId="166" formatCode="#,##0&quot; KL&quot;"/>
    <numFmt numFmtId="167" formatCode="0.00%&quot; Recovered&quot;"/>
    <numFmt numFmtId="168" formatCode="#,##0.00###"/>
    <numFmt numFmtId="169" formatCode="0.0%"/>
    <numFmt numFmtId="170" formatCode="0.00000"/>
    <numFmt numFmtId="171" formatCode="0.000"/>
    <numFmt numFmtId="172" formatCode="#,##0.0"/>
  </numFmts>
  <fonts count="33" x14ac:knownFonts="1">
    <font>
      <sz val="11"/>
      <color theme="1"/>
      <name val="Calibri"/>
      <family val="2"/>
      <charset val="1"/>
    </font>
    <font>
      <i/>
      <sz val="9"/>
      <color rgb="FF64748B"/>
      <name val="Arial"/>
      <charset val="1"/>
    </font>
    <font>
      <b/>
      <sz val="11"/>
      <color rgb="FFFFFFFF"/>
      <name val="Arial"/>
      <charset val="1"/>
    </font>
    <font>
      <sz val="11"/>
      <color theme="1"/>
      <name val="Times New Roman"/>
      <family val="1"/>
      <charset val="1"/>
    </font>
    <font>
      <sz val="10"/>
      <name val="Arial"/>
      <charset val="1"/>
    </font>
    <font>
      <sz val="10"/>
      <name val="Arial"/>
      <family val="2"/>
    </font>
    <font>
      <sz val="10"/>
      <color rgb="FF008000"/>
      <name val="Arial"/>
      <charset val="1"/>
    </font>
    <font>
      <sz val="10"/>
      <color rgb="FF0000FF"/>
      <name val="Arial"/>
      <charset val="1"/>
    </font>
    <font>
      <i/>
      <sz val="10"/>
      <color rgb="FF64748B"/>
      <name val="Arial"/>
      <charset val="1"/>
    </font>
    <font>
      <b/>
      <sz val="12"/>
      <color rgb="FFFFFFFF"/>
      <name val="Times New Roman"/>
      <family val="1"/>
    </font>
    <font>
      <b/>
      <sz val="16"/>
      <color rgb="FFFFFFFF"/>
      <name val="Times New Roman"/>
      <family val="1"/>
    </font>
    <font>
      <b/>
      <sz val="16"/>
      <color rgb="FF10B981"/>
      <name val="Times New Roman"/>
      <family val="1"/>
    </font>
    <font>
      <b/>
      <sz val="16"/>
      <color rgb="FF38BDF8"/>
      <name val="Times New Roman"/>
      <family val="1"/>
    </font>
    <font>
      <b/>
      <sz val="16"/>
      <color rgb="FF06B6D4"/>
      <name val="Times New Roman"/>
      <family val="1"/>
    </font>
    <font>
      <b/>
      <sz val="16"/>
      <color rgb="FFF59E0B"/>
      <name val="Times New Roman"/>
      <family val="1"/>
    </font>
    <font>
      <sz val="16"/>
      <color rgb="FF94A3B8"/>
      <name val="Times New Roman"/>
      <family val="1"/>
    </font>
    <font>
      <b/>
      <sz val="10"/>
      <color rgb="FFFFFFFF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i/>
      <sz val="12"/>
      <color rgb="FF64748B"/>
      <name val="Times New Roman"/>
      <family val="1"/>
    </font>
    <font>
      <b/>
      <sz val="12"/>
      <name val="Times New Roman"/>
      <family val="1"/>
    </font>
    <font>
      <sz val="12"/>
      <color rgb="FF008000"/>
      <name val="Times New Roman"/>
      <family val="1"/>
    </font>
    <font>
      <sz val="12"/>
      <color rgb="FF64748B"/>
      <name val="Times New Roman"/>
      <family val="1"/>
    </font>
    <font>
      <sz val="12"/>
      <name val="Times New Roman"/>
      <family val="1"/>
    </font>
    <font>
      <b/>
      <sz val="12"/>
      <color rgb="FF0F172A"/>
      <name val="Times New Roman"/>
      <family val="1"/>
    </font>
    <font>
      <sz val="11"/>
      <name val="Calibri"/>
      <family val="2"/>
      <charset val="1"/>
    </font>
    <font>
      <b/>
      <sz val="20"/>
      <color rgb="FFFFFFFF"/>
      <name val="Times New Roman"/>
      <family val="1"/>
    </font>
    <font>
      <b/>
      <sz val="12"/>
      <color rgb="FF0000FF"/>
      <name val="Times New Roman"/>
      <family val="1"/>
    </font>
    <font>
      <b/>
      <sz val="12"/>
      <color theme="3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20"/>
      <color theme="0"/>
      <name val="Times New Roman"/>
      <family val="1"/>
    </font>
    <font>
      <b/>
      <sz val="14"/>
      <color theme="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1F5F9"/>
        <bgColor rgb="FFF8FAFC"/>
      </patternFill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FEF9C3"/>
        <bgColor rgb="FFF8FAFC"/>
      </patternFill>
    </fill>
    <fill>
      <patternFill patternType="solid">
        <fgColor rgb="FF334155"/>
        <bgColor rgb="FF1E293B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E0F2FE"/>
        <bgColor rgb="FFE2E8F0"/>
      </patternFill>
    </fill>
    <fill>
      <patternFill patternType="solid">
        <fgColor theme="9" tint="0.39997558519241921"/>
        <bgColor rgb="FFF8FAFC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ck">
        <color rgb="FF10B981"/>
      </top>
      <bottom/>
      <diagonal/>
    </border>
    <border>
      <left/>
      <right/>
      <top style="thick">
        <color rgb="FF38BDF8"/>
      </top>
      <bottom/>
      <diagonal/>
    </border>
    <border>
      <left/>
      <right/>
      <top style="thick">
        <color rgb="FF06B6D4"/>
      </top>
      <bottom/>
      <diagonal/>
    </border>
    <border>
      <left/>
      <right/>
      <top style="thick">
        <color rgb="FFF59E0B"/>
      </top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2" borderId="0" xfId="0" applyFill="1"/>
    <xf numFmtId="0" fontId="3" fillId="0" borderId="0" xfId="0" applyFont="1"/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 indent="1"/>
    </xf>
    <xf numFmtId="0" fontId="6" fillId="8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left" vertical="center" wrapText="1" indent="1"/>
    </xf>
    <xf numFmtId="3" fontId="6" fillId="8" borderId="1" xfId="0" applyNumberFormat="1" applyFont="1" applyFill="1" applyBorder="1" applyAlignment="1">
      <alignment horizontal="right" vertical="center" indent="1"/>
    </xf>
    <xf numFmtId="0" fontId="6" fillId="7" borderId="1" xfId="0" applyFont="1" applyFill="1" applyBorder="1" applyAlignment="1">
      <alignment horizontal="left" vertical="center" wrapText="1" indent="1"/>
    </xf>
    <xf numFmtId="0" fontId="7" fillId="7" borderId="1" xfId="0" applyFont="1" applyFill="1" applyBorder="1" applyAlignment="1">
      <alignment horizontal="left" vertical="center" wrapText="1" indent="1"/>
    </xf>
    <xf numFmtId="3" fontId="6" fillId="7" borderId="1" xfId="0" applyNumberFormat="1" applyFont="1" applyFill="1" applyBorder="1" applyAlignment="1">
      <alignment horizontal="right" vertical="center" indent="1"/>
    </xf>
    <xf numFmtId="0" fontId="17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indent="1"/>
    </xf>
    <xf numFmtId="0" fontId="17" fillId="7" borderId="1" xfId="0" applyFont="1" applyFill="1" applyBorder="1" applyAlignment="1">
      <alignment horizontal="left" vertical="center" wrapText="1" indent="1"/>
    </xf>
    <xf numFmtId="3" fontId="17" fillId="7" borderId="1" xfId="0" applyNumberFormat="1" applyFont="1" applyFill="1" applyBorder="1" applyAlignment="1">
      <alignment horizontal="right" vertical="center"/>
    </xf>
    <xf numFmtId="168" fontId="17" fillId="7" borderId="1" xfId="0" applyNumberFormat="1" applyFont="1" applyFill="1" applyBorder="1" applyAlignment="1">
      <alignment horizontal="right" vertical="center"/>
    </xf>
    <xf numFmtId="11" fontId="17" fillId="7" borderId="1" xfId="0" applyNumberFormat="1" applyFont="1" applyFill="1" applyBorder="1" applyAlignment="1">
      <alignment horizontal="right" vertical="center"/>
    </xf>
    <xf numFmtId="0" fontId="17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 indent="1"/>
    </xf>
    <xf numFmtId="0" fontId="17" fillId="8" borderId="1" xfId="0" applyFont="1" applyFill="1" applyBorder="1" applyAlignment="1">
      <alignment horizontal="left" vertical="center" wrapText="1" indent="1"/>
    </xf>
    <xf numFmtId="3" fontId="17" fillId="8" borderId="1" xfId="0" applyNumberFormat="1" applyFont="1" applyFill="1" applyBorder="1" applyAlignment="1">
      <alignment horizontal="right" vertical="center"/>
    </xf>
    <xf numFmtId="11" fontId="17" fillId="8" borderId="1" xfId="0" applyNumberFormat="1" applyFont="1" applyFill="1" applyBorder="1" applyAlignment="1">
      <alignment horizontal="right" vertical="center"/>
    </xf>
    <xf numFmtId="168" fontId="17" fillId="8" borderId="1" xfId="0" applyNumberFormat="1" applyFont="1" applyFill="1" applyBorder="1" applyAlignment="1">
      <alignment horizontal="right" vertical="center"/>
    </xf>
    <xf numFmtId="0" fontId="17" fillId="7" borderId="6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3" fontId="17" fillId="7" borderId="7" xfId="0" applyNumberFormat="1" applyFont="1" applyFill="1" applyBorder="1" applyAlignment="1">
      <alignment horizontal="right" vertical="center"/>
    </xf>
    <xf numFmtId="11" fontId="17" fillId="7" borderId="7" xfId="0" applyNumberFormat="1" applyFont="1" applyFill="1" applyBorder="1" applyAlignment="1">
      <alignment horizontal="right" vertical="center"/>
    </xf>
    <xf numFmtId="3" fontId="17" fillId="8" borderId="7" xfId="0" applyNumberFormat="1" applyFont="1" applyFill="1" applyBorder="1" applyAlignment="1">
      <alignment horizontal="right" vertical="center"/>
    </xf>
    <xf numFmtId="0" fontId="17" fillId="8" borderId="7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11" fontId="17" fillId="8" borderId="7" xfId="0" applyNumberFormat="1" applyFont="1" applyFill="1" applyBorder="1" applyAlignment="1">
      <alignment horizontal="right" vertical="center"/>
    </xf>
    <xf numFmtId="168" fontId="17" fillId="8" borderId="7" xfId="0" applyNumberFormat="1" applyFont="1" applyFill="1" applyBorder="1" applyAlignment="1">
      <alignment horizontal="right" vertical="center"/>
    </xf>
    <xf numFmtId="168" fontId="17" fillId="7" borderId="7" xfId="0" applyNumberFormat="1" applyFont="1" applyFill="1" applyBorder="1" applyAlignment="1">
      <alignment horizontal="right" vertical="center"/>
    </xf>
    <xf numFmtId="0" fontId="16" fillId="3" borderId="8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left" vertical="center" indent="1"/>
    </xf>
    <xf numFmtId="0" fontId="17" fillId="7" borderId="12" xfId="0" applyFont="1" applyFill="1" applyBorder="1" applyAlignment="1">
      <alignment horizontal="left" vertical="center" wrapText="1" indent="1"/>
    </xf>
    <xf numFmtId="3" fontId="17" fillId="7" borderId="12" xfId="0" applyNumberFormat="1" applyFont="1" applyFill="1" applyBorder="1" applyAlignment="1">
      <alignment horizontal="right" vertical="center"/>
    </xf>
    <xf numFmtId="3" fontId="17" fillId="7" borderId="13" xfId="0" applyNumberFormat="1" applyFont="1" applyFill="1" applyBorder="1" applyAlignment="1">
      <alignment horizontal="right" vertical="center"/>
    </xf>
    <xf numFmtId="0" fontId="18" fillId="0" borderId="0" xfId="0" applyFont="1"/>
    <xf numFmtId="0" fontId="20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19" fillId="0" borderId="0" xfId="0" applyFont="1"/>
    <xf numFmtId="0" fontId="23" fillId="0" borderId="1" xfId="0" applyFont="1" applyBorder="1" applyAlignment="1">
      <alignment horizontal="left" vertical="center" wrapText="1" indent="1"/>
    </xf>
    <xf numFmtId="3" fontId="20" fillId="9" borderId="1" xfId="0" applyNumberFormat="1" applyFont="1" applyFill="1" applyBorder="1" applyAlignment="1">
      <alignment horizontal="right" vertical="center" indent="1"/>
    </xf>
    <xf numFmtId="169" fontId="20" fillId="9" borderId="1" xfId="0" applyNumberFormat="1" applyFont="1" applyFill="1" applyBorder="1" applyAlignment="1">
      <alignment horizontal="right" vertical="center" indent="1"/>
    </xf>
    <xf numFmtId="170" fontId="20" fillId="9" borderId="1" xfId="0" applyNumberFormat="1" applyFont="1" applyFill="1" applyBorder="1" applyAlignment="1">
      <alignment horizontal="right" vertical="center" indent="1"/>
    </xf>
    <xf numFmtId="171" fontId="20" fillId="9" borderId="1" xfId="0" applyNumberFormat="1" applyFont="1" applyFill="1" applyBorder="1" applyAlignment="1">
      <alignment horizontal="right" vertical="center" indent="1"/>
    </xf>
    <xf numFmtId="11" fontId="20" fillId="9" borderId="1" xfId="0" applyNumberFormat="1" applyFont="1" applyFill="1" applyBorder="1" applyAlignment="1">
      <alignment horizontal="right" vertical="center" indent="1"/>
    </xf>
    <xf numFmtId="2" fontId="20" fillId="9" borderId="1" xfId="0" applyNumberFormat="1" applyFont="1" applyFill="1" applyBorder="1" applyAlignment="1">
      <alignment horizontal="right" vertical="center" indent="1"/>
    </xf>
    <xf numFmtId="172" fontId="20" fillId="9" borderId="1" xfId="0" applyNumberFormat="1" applyFont="1" applyFill="1" applyBorder="1" applyAlignment="1">
      <alignment horizontal="right" vertical="center" indent="1"/>
    </xf>
    <xf numFmtId="10" fontId="20" fillId="9" borderId="1" xfId="0" applyNumberFormat="1" applyFont="1" applyFill="1" applyBorder="1" applyAlignment="1">
      <alignment horizontal="right" vertical="center" indent="1"/>
    </xf>
    <xf numFmtId="3" fontId="23" fillId="0" borderId="1" xfId="0" applyNumberFormat="1" applyFont="1" applyBorder="1" applyAlignment="1">
      <alignment horizontal="right" vertical="center" indent="1"/>
    </xf>
    <xf numFmtId="0" fontId="20" fillId="0" borderId="1" xfId="0" applyFont="1" applyBorder="1" applyAlignment="1">
      <alignment horizontal="left" vertical="center" wrapText="1" indent="1"/>
    </xf>
    <xf numFmtId="0" fontId="20" fillId="0" borderId="1" xfId="0" applyFont="1" applyBorder="1" applyAlignment="1">
      <alignment horizontal="right" vertical="center" inden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/>
    <xf numFmtId="0" fontId="24" fillId="0" borderId="0" xfId="0" applyFont="1"/>
    <xf numFmtId="0" fontId="23" fillId="8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left" vertical="center" wrapText="1" indent="1"/>
    </xf>
    <xf numFmtId="0" fontId="23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left" vertical="center" wrapText="1" indent="1"/>
    </xf>
    <xf numFmtId="3" fontId="23" fillId="8" borderId="1" xfId="0" applyNumberFormat="1" applyFont="1" applyFill="1" applyBorder="1" applyAlignment="1">
      <alignment horizontal="right" vertical="center" indent="1"/>
    </xf>
    <xf numFmtId="3" fontId="23" fillId="7" borderId="1" xfId="0" applyNumberFormat="1" applyFont="1" applyFill="1" applyBorder="1" applyAlignment="1">
      <alignment horizontal="right" vertical="center" indent="1"/>
    </xf>
    <xf numFmtId="0" fontId="25" fillId="0" borderId="0" xfId="0" applyFont="1"/>
    <xf numFmtId="0" fontId="23" fillId="5" borderId="1" xfId="0" applyFont="1" applyFill="1" applyBorder="1" applyAlignment="1">
      <alignment horizontal="left" vertical="center" wrapText="1" indent="1"/>
    </xf>
    <xf numFmtId="3" fontId="23" fillId="0" borderId="1" xfId="0" applyNumberFormat="1" applyFont="1" applyBorder="1" applyAlignment="1">
      <alignment horizontal="left" vertical="center" indent="1"/>
    </xf>
    <xf numFmtId="3" fontId="21" fillId="0" borderId="1" xfId="0" applyNumberFormat="1" applyFont="1" applyBorder="1" applyAlignment="1">
      <alignment horizontal="right" vertical="center" indent="1"/>
    </xf>
    <xf numFmtId="0" fontId="23" fillId="0" borderId="1" xfId="0" applyFont="1" applyBorder="1"/>
    <xf numFmtId="0" fontId="23" fillId="0" borderId="1" xfId="0" applyFont="1" applyBorder="1" applyAlignment="1">
      <alignment horizontal="left" indent="1"/>
    </xf>
    <xf numFmtId="0" fontId="23" fillId="0" borderId="1" xfId="0" applyFont="1" applyBorder="1" applyAlignment="1">
      <alignment horizontal="center"/>
    </xf>
    <xf numFmtId="0" fontId="23" fillId="0" borderId="0" xfId="0" applyFont="1"/>
    <xf numFmtId="0" fontId="23" fillId="0" borderId="1" xfId="0" applyFont="1" applyBorder="1" applyAlignment="1">
      <alignment horizontal="center" vertical="center" wrapText="1"/>
    </xf>
    <xf numFmtId="169" fontId="23" fillId="0" borderId="1" xfId="0" applyNumberFormat="1" applyFont="1" applyBorder="1" applyAlignment="1">
      <alignment horizontal="right" vertical="center" indent="1"/>
    </xf>
    <xf numFmtId="170" fontId="23" fillId="0" borderId="1" xfId="0" applyNumberFormat="1" applyFont="1" applyBorder="1" applyAlignment="1">
      <alignment horizontal="right" vertical="center" indent="1"/>
    </xf>
    <xf numFmtId="171" fontId="23" fillId="0" borderId="1" xfId="0" applyNumberFormat="1" applyFont="1" applyBorder="1" applyAlignment="1">
      <alignment horizontal="right" vertical="center" indent="1"/>
    </xf>
    <xf numFmtId="11" fontId="23" fillId="0" borderId="1" xfId="0" applyNumberFormat="1" applyFont="1" applyBorder="1" applyAlignment="1">
      <alignment horizontal="right" vertical="center" indent="1"/>
    </xf>
    <xf numFmtId="2" fontId="23" fillId="0" borderId="1" xfId="0" applyNumberFormat="1" applyFont="1" applyBorder="1" applyAlignment="1">
      <alignment horizontal="right" vertical="center" indent="1"/>
    </xf>
    <xf numFmtId="172" fontId="23" fillId="0" borderId="1" xfId="0" applyNumberFormat="1" applyFont="1" applyBorder="1" applyAlignment="1">
      <alignment horizontal="right" vertical="center" indent="1"/>
    </xf>
    <xf numFmtId="10" fontId="23" fillId="0" borderId="1" xfId="0" applyNumberFormat="1" applyFont="1" applyBorder="1" applyAlignment="1">
      <alignment horizontal="right" vertical="center" indent="1"/>
    </xf>
    <xf numFmtId="4" fontId="23" fillId="0" borderId="1" xfId="0" applyNumberFormat="1" applyFont="1" applyBorder="1" applyAlignment="1">
      <alignment horizontal="right" vertical="center" indent="1"/>
    </xf>
    <xf numFmtId="4" fontId="23" fillId="2" borderId="1" xfId="0" applyNumberFormat="1" applyFont="1" applyFill="1" applyBorder="1" applyAlignment="1">
      <alignment horizontal="right" vertical="center" indent="1"/>
    </xf>
    <xf numFmtId="0" fontId="29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left" vertical="center" wrapText="1" indent="1"/>
    </xf>
    <xf numFmtId="0" fontId="30" fillId="0" borderId="0" xfId="0" applyFont="1"/>
    <xf numFmtId="0" fontId="29" fillId="11" borderId="0" xfId="0" applyFont="1" applyFill="1"/>
    <xf numFmtId="0" fontId="29" fillId="11" borderId="0" xfId="0" applyFont="1" applyFill="1" applyAlignment="1">
      <alignment horizontal="center" vertical="center" wrapText="1"/>
    </xf>
    <xf numFmtId="0" fontId="26" fillId="3" borderId="0" xfId="0" applyFont="1" applyFill="1" applyAlignment="1">
      <alignment horizontal="center" vertical="center"/>
    </xf>
    <xf numFmtId="0" fontId="32" fillId="4" borderId="0" xfId="0" applyFont="1" applyFill="1" applyAlignment="1">
      <alignment horizontal="center" vertical="center" wrapText="1"/>
    </xf>
    <xf numFmtId="0" fontId="10" fillId="6" borderId="4" xfId="0" applyFont="1" applyFill="1" applyBorder="1" applyAlignment="1">
      <alignment horizontal="left" vertical="center" indent="1"/>
    </xf>
    <xf numFmtId="0" fontId="10" fillId="6" borderId="5" xfId="0" applyFont="1" applyFill="1" applyBorder="1" applyAlignment="1">
      <alignment horizontal="left" vertical="center" indent="1"/>
    </xf>
    <xf numFmtId="164" fontId="10" fillId="4" borderId="0" xfId="0" applyNumberFormat="1" applyFont="1" applyFill="1" applyAlignment="1">
      <alignment horizontal="left" vertical="center" indent="1"/>
    </xf>
    <xf numFmtId="165" fontId="10" fillId="4" borderId="0" xfId="0" applyNumberFormat="1" applyFont="1" applyFill="1" applyAlignment="1">
      <alignment horizontal="left" vertical="center" indent="1"/>
    </xf>
    <xf numFmtId="166" fontId="10" fillId="4" borderId="0" xfId="0" applyNumberFormat="1" applyFont="1" applyFill="1" applyAlignment="1">
      <alignment horizontal="left" vertical="center" indent="1"/>
    </xf>
    <xf numFmtId="167" fontId="10" fillId="4" borderId="0" xfId="0" applyNumberFormat="1" applyFont="1" applyFill="1" applyAlignment="1">
      <alignment horizontal="left" vertical="center" indent="1"/>
    </xf>
    <xf numFmtId="0" fontId="22" fillId="2" borderId="0" xfId="0" applyFont="1" applyFill="1" applyAlignment="1">
      <alignment vertical="top" wrapText="1" indent="1"/>
    </xf>
    <xf numFmtId="0" fontId="1" fillId="2" borderId="0" xfId="0" applyFont="1" applyFill="1" applyAlignment="1">
      <alignment vertical="top" wrapText="1" indent="1"/>
    </xf>
    <xf numFmtId="0" fontId="28" fillId="10" borderId="0" xfId="0" applyFont="1" applyFill="1" applyAlignment="1">
      <alignment horizontal="center" vertical="center" wrapText="1"/>
    </xf>
    <xf numFmtId="0" fontId="27" fillId="10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left" vertical="center" indent="1"/>
    </xf>
    <xf numFmtId="0" fontId="11" fillId="4" borderId="0" xfId="0" applyFont="1" applyFill="1" applyAlignment="1">
      <alignment horizontal="left" vertical="center" wrapText="1" indent="1"/>
    </xf>
    <xf numFmtId="0" fontId="12" fillId="4" borderId="0" xfId="0" applyFont="1" applyFill="1" applyAlignment="1">
      <alignment horizontal="left" vertical="center" wrapText="1" indent="1"/>
    </xf>
    <xf numFmtId="0" fontId="13" fillId="4" borderId="0" xfId="0" applyFont="1" applyFill="1" applyAlignment="1">
      <alignment horizontal="left" vertical="center" wrapText="1" indent="1"/>
    </xf>
    <xf numFmtId="0" fontId="14" fillId="4" borderId="0" xfId="0" applyFont="1" applyFill="1" applyAlignment="1">
      <alignment horizontal="left" vertical="center" wrapText="1" indent="1"/>
    </xf>
    <xf numFmtId="0" fontId="15" fillId="4" borderId="0" xfId="0" applyFont="1" applyFill="1" applyAlignment="1">
      <alignment horizontal="left" vertical="center" wrapText="1" indent="1"/>
    </xf>
    <xf numFmtId="0" fontId="10" fillId="6" borderId="2" xfId="0" applyFont="1" applyFill="1" applyBorder="1" applyAlignment="1">
      <alignment horizontal="left" vertical="center" indent="1"/>
    </xf>
    <xf numFmtId="0" fontId="10" fillId="6" borderId="3" xfId="0" applyFont="1" applyFill="1" applyBorder="1" applyAlignment="1">
      <alignment horizontal="left" vertical="center" indent="1"/>
    </xf>
    <xf numFmtId="0" fontId="23" fillId="0" borderId="0" xfId="0" applyFont="1" applyAlignment="1">
      <alignment vertical="top" wrapText="1" indent="1"/>
    </xf>
    <xf numFmtId="0" fontId="31" fillId="3" borderId="0" xfId="0" applyFont="1" applyFill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b/>
        <color rgb="FF991B1B"/>
        <name val="Arial"/>
        <charset val="1"/>
      </font>
      <fill>
        <patternFill>
          <bgColor rgb="FFFEE2E2"/>
        </patternFill>
      </fill>
    </dxf>
    <dxf>
      <font>
        <b/>
        <color rgb="FF991B1B"/>
        <name val="Arial"/>
        <charset val="1"/>
      </font>
      <fill>
        <patternFill>
          <bgColor rgb="FFFEE2E2"/>
        </patternFill>
      </fill>
    </dxf>
    <dxf>
      <font>
        <b/>
        <color rgb="FF166534"/>
        <name val="Arial"/>
        <charset val="1"/>
      </font>
      <fill>
        <patternFill>
          <bgColor rgb="FFDCFCE7"/>
        </patternFill>
      </fill>
    </dxf>
    <dxf>
      <font>
        <b/>
        <color rgb="FF166534"/>
        <name val="Arial"/>
        <charset val="1"/>
      </font>
      <fill>
        <patternFill>
          <bgColor rgb="FFDCFC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solid">
          <fgColor rgb="FFFFFFFF"/>
          <bgColor rgb="FFF8FA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solid">
          <fgColor rgb="FFFFFFFF"/>
          <bgColor rgb="FFF8FA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solid">
          <fgColor rgb="FFFFFFFF"/>
          <bgColor rgb="FFF8FA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solid">
          <fgColor rgb="FFFFFFFF"/>
          <bgColor rgb="FFF8FA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rgb="FFFFFFFF"/>
          <bgColor rgb="FFF8FAFC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rgb="FFFFFFFF"/>
          <bgColor rgb="FFF8FAFC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rgb="FFFFFFFF"/>
          <bgColor rgb="FFF8FAFC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rgb="FFFFFFFF"/>
          <bgColor rgb="FFF8FAFC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rgb="FFFFFFFF"/>
          <bgColor rgb="FFF8FAFC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imes New Roman"/>
        <family val="1"/>
        <scheme val="none"/>
      </font>
      <fill>
        <patternFill patternType="solid">
          <fgColor rgb="FF1E293B"/>
          <bgColor rgb="FF0F172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6534"/>
      <rgbColor rgb="FFF1F5F9"/>
      <rgbColor rgb="FF8B8B8B"/>
      <rgbColor rgb="FF9999FF"/>
      <rgbColor rgb="FF993366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E0F2FE"/>
      <rgbColor rgb="FFE2E8F0"/>
      <rgbColor rgb="FFF8FAFC"/>
      <rgbColor rgb="FF99CCFF"/>
      <rgbColor rgb="FFFF99CC"/>
      <rgbColor rgb="FFCC99FF"/>
      <rgbColor rgb="FFFEE2E2"/>
      <rgbColor rgb="FF4472C4"/>
      <rgbColor rgb="FF38BDF8"/>
      <rgbColor rgb="FF99CC00"/>
      <rgbColor rgb="FFFFCC00"/>
      <rgbColor rgb="FFF59E0B"/>
      <rgbColor rgb="FFEF4444"/>
      <rgbColor rgb="FF64748B"/>
      <rgbColor rgb="FF94A3B8"/>
      <rgbColor rgb="FF003366"/>
      <rgbColor rgb="FF10B981"/>
      <rgbColor rgb="FF0F172A"/>
      <rgbColor rgb="FF333300"/>
      <rgbColor rgb="FF991B1B"/>
      <rgbColor rgb="FF993366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Renewable</c:v>
          </c:tx>
          <c:spPr>
            <a:solidFill>
              <a:srgbClr val="10B981"/>
            </a:solidFill>
            <a:ln w="0">
              <a:solidFill>
                <a:srgbClr val="10B98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Calculations!$C$10:$F$10</c:f>
              <c:strCache>
                <c:ptCount val="4"/>
                <c:pt idx="0">
                  <c:v>FY 2022-23</c:v>
                </c:pt>
                <c:pt idx="1">
                  <c:v>FY 2023-24</c:v>
                </c:pt>
                <c:pt idx="2">
                  <c:v>FY 2024-25</c:v>
                </c:pt>
                <c:pt idx="3">
                  <c:v>FY 2025-26</c:v>
                </c:pt>
              </c:strCache>
            </c:strRef>
          </c:cat>
          <c:val>
            <c:numRef>
              <c:f>Calculations!$C$11:$F$11</c:f>
              <c:numCache>
                <c:formatCode>#,##0</c:formatCode>
                <c:ptCount val="4"/>
                <c:pt idx="0">
                  <c:v>246851828</c:v>
                </c:pt>
                <c:pt idx="1">
                  <c:v>239056073</c:v>
                </c:pt>
                <c:pt idx="2">
                  <c:v>400223723</c:v>
                </c:pt>
                <c:pt idx="3">
                  <c:v>489955171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5-49B9-B0B5-04DF772FC284}"/>
            </c:ext>
          </c:extLst>
        </c:ser>
        <c:ser>
          <c:idx val="1"/>
          <c:order val="1"/>
          <c:tx>
            <c:v>Non-Renewable</c:v>
          </c:tx>
          <c:spPr>
            <a:solidFill>
              <a:srgbClr val="64748B"/>
            </a:solidFill>
            <a:ln w="0">
              <a:solidFill>
                <a:srgbClr val="64748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Calculations!$C$10:$F$10</c:f>
              <c:strCache>
                <c:ptCount val="4"/>
                <c:pt idx="0">
                  <c:v>FY 2022-23</c:v>
                </c:pt>
                <c:pt idx="1">
                  <c:v>FY 2023-24</c:v>
                </c:pt>
                <c:pt idx="2">
                  <c:v>FY 2024-25</c:v>
                </c:pt>
                <c:pt idx="3">
                  <c:v>FY 2025-26</c:v>
                </c:pt>
              </c:strCache>
            </c:strRef>
          </c:cat>
          <c:val>
            <c:numRef>
              <c:f>Calculations!$C$12:$F$12</c:f>
              <c:numCache>
                <c:formatCode>#,##0</c:formatCode>
                <c:ptCount val="4"/>
                <c:pt idx="0">
                  <c:v>603727451</c:v>
                </c:pt>
                <c:pt idx="1">
                  <c:v>635397826</c:v>
                </c:pt>
                <c:pt idx="2">
                  <c:v>497924771</c:v>
                </c:pt>
                <c:pt idx="3">
                  <c:v>285642828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5-49B9-B0B5-04DF772FC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63314644"/>
        <c:axId val="37839661"/>
      </c:barChart>
      <c:catAx>
        <c:axId val="633146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839661"/>
        <c:crosses val="autoZero"/>
        <c:auto val="1"/>
        <c:lblAlgn val="ctr"/>
        <c:lblOffset val="100"/>
        <c:noMultiLvlLbl val="0"/>
      </c:catAx>
      <c:valAx>
        <c:axId val="37839661"/>
        <c:scaling>
          <c:orientation val="minMax"/>
        </c:scaling>
        <c:delete val="0"/>
        <c:axPos val="l"/>
        <c:majorGridlines>
          <c:spPr>
            <a:ln w="6480">
              <a:solidFill>
                <a:srgbClr val="E2E8F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Million MJ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,,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3146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CBD5E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Scope 1</c:v>
          </c:tx>
          <c:spPr>
            <a:solidFill>
              <a:srgbClr val="1E293B"/>
            </a:solidFill>
            <a:ln w="0">
              <a:solidFill>
                <a:srgbClr val="1E293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Calculations!$C$10:$F$10</c:f>
              <c:strCache>
                <c:ptCount val="4"/>
                <c:pt idx="0">
                  <c:v>FY 2022-23</c:v>
                </c:pt>
                <c:pt idx="1">
                  <c:v>FY 2023-24</c:v>
                </c:pt>
                <c:pt idx="2">
                  <c:v>FY 2024-25</c:v>
                </c:pt>
                <c:pt idx="3">
                  <c:v>FY 2025-26</c:v>
                </c:pt>
              </c:strCache>
            </c:strRef>
          </c:cat>
          <c:val>
            <c:numRef>
              <c:f>Calculations!$C$20:$F$20</c:f>
              <c:numCache>
                <c:formatCode>#,##0</c:formatCode>
                <c:ptCount val="4"/>
                <c:pt idx="0">
                  <c:v>33370</c:v>
                </c:pt>
                <c:pt idx="1">
                  <c:v>36076</c:v>
                </c:pt>
                <c:pt idx="2">
                  <c:v>29544</c:v>
                </c:pt>
                <c:pt idx="3">
                  <c:v>11018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C-48C7-A706-59C86A76A71D}"/>
            </c:ext>
          </c:extLst>
        </c:ser>
        <c:ser>
          <c:idx val="1"/>
          <c:order val="1"/>
          <c:tx>
            <c:v>Scope 2</c:v>
          </c:tx>
          <c:spPr>
            <a:solidFill>
              <a:srgbClr val="38BDF8"/>
            </a:solidFill>
            <a:ln w="0">
              <a:solidFill>
                <a:srgbClr val="38BDF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Calculations!$C$10:$F$10</c:f>
              <c:strCache>
                <c:ptCount val="4"/>
                <c:pt idx="0">
                  <c:v>FY 2022-23</c:v>
                </c:pt>
                <c:pt idx="1">
                  <c:v>FY 2023-24</c:v>
                </c:pt>
                <c:pt idx="2">
                  <c:v>FY 2024-25</c:v>
                </c:pt>
                <c:pt idx="3">
                  <c:v>FY 2025-26</c:v>
                </c:pt>
              </c:strCache>
            </c:strRef>
          </c:cat>
          <c:val>
            <c:numRef>
              <c:f>Calculations!$C$21:$F$21</c:f>
              <c:numCache>
                <c:formatCode>#,##0</c:formatCode>
                <c:ptCount val="4"/>
                <c:pt idx="0">
                  <c:v>24643</c:v>
                </c:pt>
                <c:pt idx="1">
                  <c:v>24362</c:v>
                </c:pt>
                <c:pt idx="2">
                  <c:v>23932</c:v>
                </c:pt>
                <c:pt idx="3">
                  <c:v>27247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2C-48C7-A706-59C86A76A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2055953"/>
        <c:axId val="42461962"/>
      </c:barChart>
      <c:lineChart>
        <c:grouping val="standard"/>
        <c:varyColors val="0"/>
        <c:ser>
          <c:idx val="2"/>
          <c:order val="2"/>
          <c:tx>
            <c:v>Scope 3 (right axis)</c:v>
          </c:tx>
          <c:spPr>
            <a:ln w="28080">
              <a:solidFill>
                <a:srgbClr val="F59E0B"/>
              </a:solidFill>
              <a:round/>
            </a:ln>
          </c:spPr>
          <c:marker>
            <c:symbol val="circle"/>
            <c:size val="7"/>
            <c:spPr>
              <a:solidFill>
                <a:srgbClr val="F59E0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Calculations!$C$10:$F$10</c:f>
              <c:strCache>
                <c:ptCount val="4"/>
                <c:pt idx="0">
                  <c:v>FY 2022-23</c:v>
                </c:pt>
                <c:pt idx="1">
                  <c:v>FY 2023-24</c:v>
                </c:pt>
                <c:pt idx="2">
                  <c:v>FY 2024-25</c:v>
                </c:pt>
                <c:pt idx="3">
                  <c:v>FY 2025-26</c:v>
                </c:pt>
              </c:strCache>
            </c:strRef>
          </c:cat>
          <c:val>
            <c:numRef>
              <c:f>Calculations!$C$22:$F$22</c:f>
              <c:numCache>
                <c:formatCode>#,##0</c:formatCode>
                <c:ptCount val="4"/>
                <c:pt idx="0">
                  <c:v>1333796</c:v>
                </c:pt>
                <c:pt idx="1">
                  <c:v>1482327</c:v>
                </c:pt>
                <c:pt idx="2">
                  <c:v>2208455</c:v>
                </c:pt>
                <c:pt idx="3">
                  <c:v>1818735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2C-48C7-A706-59C86A76A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2669001"/>
        <c:axId val="43203863"/>
      </c:lineChart>
      <c:catAx>
        <c:axId val="420559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461962"/>
        <c:crosses val="autoZero"/>
        <c:auto val="1"/>
        <c:lblAlgn val="ctr"/>
        <c:lblOffset val="100"/>
        <c:noMultiLvlLbl val="0"/>
      </c:catAx>
      <c:valAx>
        <c:axId val="42461962"/>
        <c:scaling>
          <c:orientation val="minMax"/>
        </c:scaling>
        <c:delete val="0"/>
        <c:axPos val="l"/>
        <c:majorGridlines>
          <c:spPr>
            <a:ln w="6480">
              <a:solidFill>
                <a:srgbClr val="E2E8F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Scope 1 &amp; 2 (tCO2e)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055953"/>
        <c:crosses val="autoZero"/>
        <c:crossBetween val="between"/>
      </c:valAx>
      <c:catAx>
        <c:axId val="62669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203863"/>
        <c:crosses val="autoZero"/>
        <c:auto val="1"/>
        <c:lblAlgn val="ctr"/>
        <c:lblOffset val="100"/>
        <c:noMultiLvlLbl val="0"/>
      </c:catAx>
      <c:valAx>
        <c:axId val="4320386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Scope 3 (tCO2e)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66900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CBD5E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Groundwater withdrawal</c:v>
          </c:tx>
          <c:spPr>
            <a:solidFill>
              <a:srgbClr val="64748B"/>
            </a:solidFill>
            <a:ln w="0">
              <a:solidFill>
                <a:srgbClr val="64748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Calculations!$C$10:$F$10</c:f>
              <c:strCache>
                <c:ptCount val="4"/>
                <c:pt idx="0">
                  <c:v>FY 2022-23</c:v>
                </c:pt>
                <c:pt idx="1">
                  <c:v>FY 2023-24</c:v>
                </c:pt>
                <c:pt idx="2">
                  <c:v>FY 2024-25</c:v>
                </c:pt>
                <c:pt idx="3">
                  <c:v>FY 2025-26</c:v>
                </c:pt>
              </c:strCache>
            </c:strRef>
          </c:cat>
          <c:val>
            <c:numRef>
              <c:f>Calculations!$C$35:$F$35</c:f>
              <c:numCache>
                <c:formatCode>#,##0</c:formatCode>
                <c:ptCount val="4"/>
                <c:pt idx="0">
                  <c:v>336755</c:v>
                </c:pt>
                <c:pt idx="1">
                  <c:v>336136</c:v>
                </c:pt>
                <c:pt idx="2">
                  <c:v>341690</c:v>
                </c:pt>
                <c:pt idx="3">
                  <c:v>239306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D-40E7-9BA5-E344D4D349F3}"/>
            </c:ext>
          </c:extLst>
        </c:ser>
        <c:ser>
          <c:idx val="1"/>
          <c:order val="1"/>
          <c:tx>
            <c:v>Water saved / reclaimed</c:v>
          </c:tx>
          <c:spPr>
            <a:solidFill>
              <a:srgbClr val="06B6D4"/>
            </a:solidFill>
            <a:ln w="0">
              <a:solidFill>
                <a:srgbClr val="06B6D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Calculations!$C$10:$F$10</c:f>
              <c:strCache>
                <c:ptCount val="4"/>
                <c:pt idx="0">
                  <c:v>FY 2022-23</c:v>
                </c:pt>
                <c:pt idx="1">
                  <c:v>FY 2023-24</c:v>
                </c:pt>
                <c:pt idx="2">
                  <c:v>FY 2024-25</c:v>
                </c:pt>
                <c:pt idx="3">
                  <c:v>FY 2025-26</c:v>
                </c:pt>
              </c:strCache>
            </c:strRef>
          </c:cat>
          <c:val>
            <c:numRef>
              <c:f>Calculations!$C$41:$F$41</c:f>
              <c:numCache>
                <c:formatCode>#,##0</c:formatCode>
                <c:ptCount val="4"/>
                <c:pt idx="0">
                  <c:v>0</c:v>
                </c:pt>
                <c:pt idx="1">
                  <c:v>1129</c:v>
                </c:pt>
                <c:pt idx="2">
                  <c:v>0</c:v>
                </c:pt>
                <c:pt idx="3">
                  <c:v>36300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0D-40E7-9BA5-E344D4D34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7430453"/>
        <c:axId val="49874993"/>
      </c:barChart>
      <c:catAx>
        <c:axId val="974304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874993"/>
        <c:crosses val="autoZero"/>
        <c:auto val="1"/>
        <c:lblAlgn val="ctr"/>
        <c:lblOffset val="100"/>
        <c:noMultiLvlLbl val="0"/>
      </c:catAx>
      <c:valAx>
        <c:axId val="49874993"/>
        <c:scaling>
          <c:orientation val="minMax"/>
        </c:scaling>
        <c:delete val="0"/>
        <c:axPos val="l"/>
        <c:majorGridlines>
          <c:spPr>
            <a:ln w="6480">
              <a:solidFill>
                <a:srgbClr val="E2E8F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KL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4304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CBD5E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v>Waste</c:v>
          </c:tx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0B98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41A-4704-93D0-C735CD6ACB75}"/>
              </c:ext>
            </c:extLst>
          </c:dPt>
          <c:dPt>
            <c:idx val="1"/>
            <c:bubble3D val="0"/>
            <c:spPr>
              <a:solidFill>
                <a:srgbClr val="EF44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41A-4704-93D0-C735CD6ACB75}"/>
              </c:ext>
            </c:extLst>
          </c:dPt>
          <c:dPt>
            <c:idx val="2"/>
            <c:bubble3D val="0"/>
            <c:spPr>
              <a:solidFill>
                <a:srgbClr val="CBD5E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41A-4704-93D0-C735CD6ACB7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1A-4704-93D0-C735CD6ACB7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1A-4704-93D0-C735CD6ACB7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1A-4704-93D0-C735CD6ACB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Calculations!$A$47:$A$49</c:f>
              <c:strCache>
                <c:ptCount val="3"/>
                <c:pt idx="0">
                  <c:v>Waste Recycled / Recovered</c:v>
                </c:pt>
                <c:pt idx="1">
                  <c:v>Waste Disposed</c:v>
                </c:pt>
                <c:pt idx="2">
                  <c:v>Other / Not classified</c:v>
                </c:pt>
              </c:strCache>
            </c:strRef>
          </c:cat>
          <c:val>
            <c:numRef>
              <c:f>Calculations!$G$47:$G$49</c:f>
              <c:numCache>
                <c:formatCode>#,##0.0</c:formatCode>
                <c:ptCount val="3"/>
                <c:pt idx="0">
                  <c:v>5395</c:v>
                </c:pt>
                <c:pt idx="1">
                  <c:v>69.2</c:v>
                </c:pt>
                <c:pt idx="2">
                  <c:v>2027.5299999999995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1A-4704-93D0-C735CD6AC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CBD5E1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6</xdr:col>
      <xdr:colOff>335894</xdr:colOff>
      <xdr:row>31</xdr:row>
      <xdr:rowOff>47880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10</xdr:col>
      <xdr:colOff>786892</xdr:colOff>
      <xdr:row>31</xdr:row>
      <xdr:rowOff>47880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6</xdr:col>
      <xdr:colOff>335894</xdr:colOff>
      <xdr:row>49</xdr:row>
      <xdr:rowOff>47880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10</xdr:col>
      <xdr:colOff>786892</xdr:colOff>
      <xdr:row>49</xdr:row>
      <xdr:rowOff>47880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75083-5FF5-4420-BD4F-B2C370236269}" name="Table1" displayName="Table1" ref="A1:H118" totalsRowShown="0" headerRowDxfId="16" dataDxfId="14" headerRowBorderDxfId="15" tableBorderDxfId="13" totalsRowBorderDxfId="12">
  <autoFilter ref="A1:H118" xr:uid="{00000000-0009-0000-0000-000001000000}"/>
  <tableColumns count="8">
    <tableColumn id="1" xr3:uid="{948FAFEF-28C3-4D75-B0E7-876954A91B3B}" name="S.No " dataDxfId="11"/>
    <tableColumn id="2" xr3:uid="{00B3D9BF-BFC1-4CF7-9061-A4D05149A5D2}" name="Category" dataDxfId="10"/>
    <tableColumn id="3" xr3:uid="{919446D0-7CC4-4173-A828-E2A6D8E8D79F}" name="Metric" dataDxfId="9"/>
    <tableColumn id="4" xr3:uid="{6D4724C8-07C3-4E9D-9BF8-A984F1E67946}" name="Unit" dataDxfId="8"/>
    <tableColumn id="5" xr3:uid="{F4BBF3EB-9646-4511-A9F9-09338D4DD26E}" name="FY 2022-23" dataDxfId="7"/>
    <tableColumn id="6" xr3:uid="{7391AE49-45E7-4F6C-90B4-22D8F86E234C}" name="FY 2023-2024" dataDxfId="6"/>
    <tableColumn id="7" xr3:uid="{EAEF1147-339C-4F89-9F04-6FB447039BA4}" name="FY 2024-2025" dataDxfId="5"/>
    <tableColumn id="8" xr3:uid="{B6B83A76-3CC6-46CA-BA93-209B349FC6EC}" name="FY 2025-2026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172A"/>
    <pageSetUpPr fitToPage="1"/>
  </sheetPr>
  <dimension ref="A1:N55"/>
  <sheetViews>
    <sheetView showGridLines="0" showRowColHeaders="0" tabSelected="1" zoomScale="87" zoomScaleNormal="85" workbookViewId="0">
      <selection activeCell="B2" sqref="B2:M3"/>
    </sheetView>
  </sheetViews>
  <sheetFormatPr defaultColWidth="8.6640625" defaultRowHeight="14.4" x14ac:dyDescent="0.3"/>
  <cols>
    <col min="1" max="1" width="2" customWidth="1"/>
    <col min="2" max="3" width="13.44140625" customWidth="1"/>
    <col min="4" max="4" width="24.109375" customWidth="1"/>
    <col min="5" max="6" width="13.44140625" customWidth="1"/>
    <col min="7" max="7" width="35.44140625" customWidth="1"/>
    <col min="8" max="9" width="13.44140625" customWidth="1"/>
    <col min="10" max="10" width="44.44140625" customWidth="1"/>
    <col min="11" max="12" width="13.44140625" customWidth="1"/>
    <col min="13" max="13" width="31" customWidth="1"/>
    <col min="14" max="14" width="7.5546875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4" customHeight="1" x14ac:dyDescent="0.3">
      <c r="A2" s="1"/>
      <c r="B2" s="91" t="s">
        <v>289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1"/>
    </row>
    <row r="3" spans="1:14" ht="24" customHeight="1" x14ac:dyDescent="0.3">
      <c r="A3" s="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1"/>
    </row>
    <row r="4" spans="1:14" ht="19.5" customHeight="1" x14ac:dyDescent="0.3">
      <c r="A4" s="1"/>
      <c r="B4" s="92" t="s">
        <v>0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1"/>
    </row>
    <row r="5" spans="1:14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5.5" customHeight="1" x14ac:dyDescent="0.3">
      <c r="A6" s="1"/>
      <c r="B6" s="101" t="s">
        <v>167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"/>
    </row>
    <row r="7" spans="1:14" ht="7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1.75" customHeight="1" x14ac:dyDescent="0.3">
      <c r="A8" s="1"/>
      <c r="B8" s="109" t="s">
        <v>2</v>
      </c>
      <c r="C8" s="109"/>
      <c r="D8" s="109"/>
      <c r="E8" s="110" t="s">
        <v>3</v>
      </c>
      <c r="F8" s="110"/>
      <c r="G8" s="110"/>
      <c r="H8" s="93" t="s">
        <v>4</v>
      </c>
      <c r="I8" s="93"/>
      <c r="J8" s="93"/>
      <c r="K8" s="94" t="s">
        <v>5</v>
      </c>
      <c r="L8" s="94"/>
      <c r="M8" s="94"/>
      <c r="N8" s="1"/>
    </row>
    <row r="9" spans="1:14" ht="21.75" customHeight="1" x14ac:dyDescent="0.3">
      <c r="A9" s="1"/>
      <c r="B9" s="95">
        <f>Calculations!G13</f>
        <v>898148494</v>
      </c>
      <c r="C9" s="95"/>
      <c r="D9" s="95"/>
      <c r="E9" s="96">
        <f>Calculations!G25</f>
        <v>2.2619310000000001</v>
      </c>
      <c r="F9" s="96"/>
      <c r="G9" s="96"/>
      <c r="H9" s="97">
        <f>Calculations!G39</f>
        <v>503608</v>
      </c>
      <c r="I9" s="97"/>
      <c r="J9" s="97"/>
      <c r="K9" s="98">
        <f>Calculations!G50</f>
        <v>0.72012739380623703</v>
      </c>
      <c r="L9" s="98"/>
      <c r="M9" s="98"/>
      <c r="N9" s="1"/>
    </row>
    <row r="10" spans="1:14" ht="21.75" customHeight="1" x14ac:dyDescent="0.3">
      <c r="A10" s="1"/>
      <c r="B10" s="95"/>
      <c r="C10" s="95"/>
      <c r="D10" s="95"/>
      <c r="E10" s="96"/>
      <c r="F10" s="96"/>
      <c r="G10" s="96"/>
      <c r="H10" s="97"/>
      <c r="I10" s="97"/>
      <c r="J10" s="97"/>
      <c r="K10" s="98"/>
      <c r="L10" s="98"/>
      <c r="M10" s="98"/>
      <c r="N10" s="1"/>
    </row>
    <row r="11" spans="1:14" ht="19.5" customHeight="1" x14ac:dyDescent="0.3">
      <c r="A11" s="1"/>
      <c r="B11" s="104" t="str">
        <f>"🌱 "&amp;TEXT(Calculations!G14,"0.0%")&amp;" renewable  |  "&amp;IF(Calculations!$B$3=1,"base year",IF((Calculations!G13/INDEX(Calculations!C13:F13,Calculations!$B$3-1)-1)&lt;0,"▼ ","▲ ")&amp;TEXT(ABS((Calculations!G13/INDEX(Calculations!C13:F13,Calculations!$B$3-1)-1)),"0.0%")&amp;" YoY")</f>
        <v>🌱 44.6% renewable  |  ▲ 2.7% YoY</v>
      </c>
      <c r="C11" s="104"/>
      <c r="D11" s="104"/>
      <c r="E11" s="105" t="str">
        <f>IF(ISNUMBER(Calculations!G26),"Scope 1 "&amp;IF(Calculations!G26&lt;0,"▼ ","▲ ")&amp;TEXT(ABS(Calculations!G26),"0.0%")&amp;" vs prior year","Scope 1: base year")</f>
        <v>Scope 1 ▼ 18.1% vs prior year</v>
      </c>
      <c r="F11" s="105"/>
      <c r="G11" s="105"/>
      <c r="H11" s="106" t="str">
        <f>"♻ Reclaimed: "&amp;TEXT(Calculations!G41,"#,##0")&amp;" KL ("&amp;TEXT(Calculations!G42,"0.0%")&amp;" of total)"</f>
        <v>♻ Reclaimed: 0 KL (0.0% of total)</v>
      </c>
      <c r="I11" s="106"/>
      <c r="J11" s="106"/>
      <c r="K11" s="107" t="str">
        <f>TEXT(Calculations!G47,"#,##0")&amp;" of "&amp;TEXT(Calculations!G46,"#,##0")&amp;" MT recycled"</f>
        <v>5,395 of 7,492 MT recycled</v>
      </c>
      <c r="L11" s="107"/>
      <c r="M11" s="107"/>
      <c r="N11" s="1"/>
    </row>
    <row r="12" spans="1:14" ht="19.5" customHeight="1" x14ac:dyDescent="0.3">
      <c r="A12" s="1"/>
      <c r="B12" s="108" t="str">
        <f>TEXT(Calculations!G13,"#,##0")&amp;" MJ"</f>
        <v>89,81,48,494 MJ</v>
      </c>
      <c r="C12" s="108"/>
      <c r="D12" s="108"/>
      <c r="E12" s="108" t="str">
        <f>"S1 "&amp;TEXT(Calculations!G20/1000000,"0.000")&amp;"  |  S2 "&amp;TEXT(Calculations!G21/1000000,"0.000")&amp;"  |  S3 "&amp;TEXT(Calculations!G22/1000000,"0.000")&amp;" Mt"</f>
        <v>S1 0.030  |  S2 0.024  |  S3 2.208 Mt</v>
      </c>
      <c r="F12" s="108"/>
      <c r="G12" s="108"/>
      <c r="H12" s="108" t="str">
        <f>"Groundwater share: "&amp;TEXT(Calculations!G40,"0.0%")</f>
        <v>Groundwater share: 67.8%</v>
      </c>
      <c r="I12" s="108"/>
      <c r="J12" s="108"/>
      <c r="K12" s="108" t="str">
        <f>"Disposed "&amp;TEXT(Calculations!G48,"#,##0.0")&amp;" MT  |  Unclassified "&amp;TEXT(Calculations!G49,"#,##0.0")&amp;" MT"</f>
        <v>Disposed 69.2 MT  |  Unclassified 2,027.5 MT</v>
      </c>
      <c r="L12" s="108"/>
      <c r="M12" s="108"/>
      <c r="N12" s="1"/>
    </row>
    <row r="13" spans="1:14" ht="7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7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1.75" customHeight="1" x14ac:dyDescent="0.3">
      <c r="A15" s="1"/>
      <c r="B15" s="103" t="s">
        <v>6</v>
      </c>
      <c r="C15" s="103"/>
      <c r="D15" s="103"/>
      <c r="E15" s="103"/>
      <c r="F15" s="103"/>
      <c r="G15" s="103"/>
      <c r="H15" s="103" t="s">
        <v>7</v>
      </c>
      <c r="I15" s="103"/>
      <c r="J15" s="103"/>
      <c r="K15" s="103"/>
      <c r="L15" s="103"/>
      <c r="M15" s="103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21.75" customHeight="1" x14ac:dyDescent="0.3">
      <c r="A33" s="1"/>
      <c r="B33" s="103" t="s">
        <v>8</v>
      </c>
      <c r="C33" s="103"/>
      <c r="D33" s="103"/>
      <c r="E33" s="103"/>
      <c r="F33" s="103"/>
      <c r="G33" s="103"/>
      <c r="H33" s="103" t="str">
        <f>"🗑️  Waste Diversion, "&amp;Calculations!B2</f>
        <v>🗑️  Waste Diversion, FY 2024-25</v>
      </c>
      <c r="I33" s="103"/>
      <c r="J33" s="103"/>
      <c r="K33" s="103"/>
      <c r="L33" s="103"/>
      <c r="M33" s="103"/>
      <c r="N33" s="1"/>
    </row>
    <row r="34" spans="1:1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customHeight="1" x14ac:dyDescent="0.3">
      <c r="A52" s="1"/>
      <c r="B52" s="99" t="s">
        <v>9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"/>
    </row>
    <row r="53" spans="1:14" x14ac:dyDescent="0.3">
      <c r="A53" s="1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"/>
    </row>
    <row r="54" spans="1:14" x14ac:dyDescent="0.3">
      <c r="A54" s="1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"/>
    </row>
    <row r="55" spans="1:1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</sheetData>
  <mergeCells count="24">
    <mergeCell ref="B52:M54"/>
    <mergeCell ref="B6:M6"/>
    <mergeCell ref="B15:G15"/>
    <mergeCell ref="H15:M15"/>
    <mergeCell ref="B33:G33"/>
    <mergeCell ref="H33:M33"/>
    <mergeCell ref="B11:D11"/>
    <mergeCell ref="E11:G11"/>
    <mergeCell ref="H11:J11"/>
    <mergeCell ref="K11:M11"/>
    <mergeCell ref="B12:D12"/>
    <mergeCell ref="E12:G12"/>
    <mergeCell ref="H12:J12"/>
    <mergeCell ref="K12:M12"/>
    <mergeCell ref="B8:D8"/>
    <mergeCell ref="E8:G8"/>
    <mergeCell ref="B2:M3"/>
    <mergeCell ref="B4:M4"/>
    <mergeCell ref="H8:J8"/>
    <mergeCell ref="K8:M8"/>
    <mergeCell ref="B9:D10"/>
    <mergeCell ref="E9:G10"/>
    <mergeCell ref="H9:J10"/>
    <mergeCell ref="K9:M10"/>
  </mergeCells>
  <pageMargins left="0.75" right="0.75" top="1" bottom="1" header="0.511811023622047" footer="0.511811023622047"/>
  <pageSetup scale="48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Invalid year" error="Choose one of the four financial years." xr:uid="{00000000-0002-0000-0000-000000000000}">
          <x14:formula1>
            <xm:f>Calculations!$A$5:$A$8</xm:f>
          </x14:formula1>
          <x14:formula2>
            <xm:f>0</xm:f>
          </x14:formula2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4748B"/>
    <pageSetUpPr fitToPage="1"/>
  </sheetPr>
  <dimension ref="A1:H118"/>
  <sheetViews>
    <sheetView showGridLines="0" zoomScale="107" zoomScaleNormal="100" workbookViewId="0">
      <pane xSplit="3" ySplit="1" topLeftCell="D105" activePane="bottomRight" state="frozen"/>
      <selection pane="topRight" activeCell="D1" sqref="D1"/>
      <selection pane="bottomLeft" activeCell="A2" sqref="A2"/>
      <selection pane="bottomRight" activeCell="E2" sqref="E2"/>
    </sheetView>
  </sheetViews>
  <sheetFormatPr defaultColWidth="8.88671875" defaultRowHeight="13.8" x14ac:dyDescent="0.25"/>
  <cols>
    <col min="1" max="1" width="7.109375" style="2" customWidth="1"/>
    <col min="2" max="2" width="22" style="2" customWidth="1"/>
    <col min="3" max="3" width="62" style="2" customWidth="1"/>
    <col min="4" max="4" width="30" style="2" customWidth="1"/>
    <col min="5" max="5" width="14.88671875" style="2" bestFit="1" customWidth="1"/>
    <col min="6" max="8" width="16.88671875" style="2" bestFit="1" customWidth="1"/>
    <col min="9" max="16384" width="8.88671875" style="2"/>
  </cols>
  <sheetData>
    <row r="1" spans="1:8" ht="25.5" customHeight="1" x14ac:dyDescent="0.25">
      <c r="A1" s="35" t="s">
        <v>10</v>
      </c>
      <c r="B1" s="36" t="s">
        <v>11</v>
      </c>
      <c r="C1" s="36" t="s">
        <v>12</v>
      </c>
      <c r="D1" s="36" t="s">
        <v>13</v>
      </c>
      <c r="E1" s="36" t="s">
        <v>14</v>
      </c>
      <c r="F1" s="36" t="s">
        <v>15</v>
      </c>
      <c r="G1" s="36" t="s">
        <v>16</v>
      </c>
      <c r="H1" s="37" t="s">
        <v>17</v>
      </c>
    </row>
    <row r="2" spans="1:8" ht="18" customHeight="1" x14ac:dyDescent="0.25">
      <c r="A2" s="25">
        <v>1</v>
      </c>
      <c r="B2" s="14" t="s">
        <v>18</v>
      </c>
      <c r="C2" s="15" t="s">
        <v>19</v>
      </c>
      <c r="D2" s="14" t="s">
        <v>20</v>
      </c>
      <c r="E2" s="16">
        <v>246851828</v>
      </c>
      <c r="F2" s="16">
        <v>239056073</v>
      </c>
      <c r="G2" s="16">
        <v>400223723</v>
      </c>
      <c r="H2" s="27">
        <v>489955171</v>
      </c>
    </row>
    <row r="3" spans="1:8" ht="18" customHeight="1" x14ac:dyDescent="0.25">
      <c r="A3" s="25">
        <v>2</v>
      </c>
      <c r="B3" s="14" t="s">
        <v>18</v>
      </c>
      <c r="C3" s="15" t="s">
        <v>21</v>
      </c>
      <c r="D3" s="14" t="s">
        <v>20</v>
      </c>
      <c r="E3" s="16">
        <v>603727451</v>
      </c>
      <c r="F3" s="16">
        <v>635397826</v>
      </c>
      <c r="G3" s="16">
        <v>497924771</v>
      </c>
      <c r="H3" s="27">
        <v>285642828</v>
      </c>
    </row>
    <row r="4" spans="1:8" ht="18" customHeight="1" x14ac:dyDescent="0.25">
      <c r="A4" s="25">
        <v>3</v>
      </c>
      <c r="B4" s="14" t="s">
        <v>18</v>
      </c>
      <c r="C4" s="15" t="s">
        <v>22</v>
      </c>
      <c r="D4" s="14" t="s">
        <v>20</v>
      </c>
      <c r="E4" s="16">
        <v>850579279</v>
      </c>
      <c r="F4" s="16">
        <v>874453899</v>
      </c>
      <c r="G4" s="16">
        <f>SUM(G2:G3)</f>
        <v>898148494</v>
      </c>
      <c r="H4" s="27">
        <f>SUM(H2:H3)</f>
        <v>775597999</v>
      </c>
    </row>
    <row r="5" spans="1:8" ht="18" customHeight="1" x14ac:dyDescent="0.25">
      <c r="A5" s="25">
        <v>4</v>
      </c>
      <c r="B5" s="14" t="s">
        <v>18</v>
      </c>
      <c r="C5" s="15" t="s">
        <v>23</v>
      </c>
      <c r="D5" s="14" t="s">
        <v>24</v>
      </c>
      <c r="E5" s="17">
        <v>1.0999999999999999E-2</v>
      </c>
      <c r="F5" s="17">
        <v>1.0999999999999999E-2</v>
      </c>
      <c r="G5" s="17">
        <v>1.034E-2</v>
      </c>
      <c r="H5" s="28">
        <v>8.2699999999999996E-3</v>
      </c>
    </row>
    <row r="6" spans="1:8" ht="18" customHeight="1" x14ac:dyDescent="0.25">
      <c r="A6" s="25">
        <v>5</v>
      </c>
      <c r="B6" s="14" t="s">
        <v>18</v>
      </c>
      <c r="C6" s="15" t="s">
        <v>25</v>
      </c>
      <c r="D6" s="14" t="s">
        <v>26</v>
      </c>
      <c r="E6" s="16">
        <v>2558</v>
      </c>
      <c r="F6" s="16">
        <v>2367</v>
      </c>
      <c r="G6" s="16">
        <v>4185</v>
      </c>
      <c r="H6" s="27">
        <v>3963</v>
      </c>
    </row>
    <row r="7" spans="1:8" ht="18" customHeight="1" x14ac:dyDescent="0.25">
      <c r="A7" s="26">
        <v>6</v>
      </c>
      <c r="B7" s="20" t="s">
        <v>27</v>
      </c>
      <c r="C7" s="21" t="s">
        <v>28</v>
      </c>
      <c r="D7" s="20" t="s">
        <v>29</v>
      </c>
      <c r="E7" s="22">
        <v>0</v>
      </c>
      <c r="F7" s="22">
        <v>0</v>
      </c>
      <c r="G7" s="22">
        <v>0</v>
      </c>
      <c r="H7" s="29">
        <v>0</v>
      </c>
    </row>
    <row r="8" spans="1:8" ht="18" customHeight="1" x14ac:dyDescent="0.25">
      <c r="A8" s="26">
        <v>7</v>
      </c>
      <c r="B8" s="20" t="s">
        <v>27</v>
      </c>
      <c r="C8" s="21" t="s">
        <v>30</v>
      </c>
      <c r="D8" s="20" t="s">
        <v>29</v>
      </c>
      <c r="E8" s="22">
        <v>336755</v>
      </c>
      <c r="F8" s="22">
        <v>336136</v>
      </c>
      <c r="G8" s="22">
        <v>341690</v>
      </c>
      <c r="H8" s="29">
        <v>239306</v>
      </c>
    </row>
    <row r="9" spans="1:8" ht="18" customHeight="1" x14ac:dyDescent="0.25">
      <c r="A9" s="26">
        <v>8</v>
      </c>
      <c r="B9" s="20" t="s">
        <v>27</v>
      </c>
      <c r="C9" s="21" t="s">
        <v>31</v>
      </c>
      <c r="D9" s="20" t="s">
        <v>29</v>
      </c>
      <c r="E9" s="22">
        <v>158665</v>
      </c>
      <c r="F9" s="22">
        <v>137797</v>
      </c>
      <c r="G9" s="22">
        <v>135229</v>
      </c>
      <c r="H9" s="29">
        <v>314779</v>
      </c>
    </row>
    <row r="10" spans="1:8" ht="18" customHeight="1" x14ac:dyDescent="0.25">
      <c r="A10" s="26">
        <v>9</v>
      </c>
      <c r="B10" s="20" t="s">
        <v>27</v>
      </c>
      <c r="C10" s="21" t="s">
        <v>32</v>
      </c>
      <c r="D10" s="20" t="s">
        <v>29</v>
      </c>
      <c r="E10" s="22">
        <v>0</v>
      </c>
      <c r="F10" s="19" t="s">
        <v>33</v>
      </c>
      <c r="G10" s="19" t="s">
        <v>33</v>
      </c>
      <c r="H10" s="30" t="s">
        <v>33</v>
      </c>
    </row>
    <row r="11" spans="1:8" ht="18" customHeight="1" x14ac:dyDescent="0.25">
      <c r="A11" s="26">
        <v>10</v>
      </c>
      <c r="B11" s="20" t="s">
        <v>27</v>
      </c>
      <c r="C11" s="21" t="s">
        <v>34</v>
      </c>
      <c r="D11" s="20" t="s">
        <v>29</v>
      </c>
      <c r="E11" s="22">
        <v>1934946</v>
      </c>
      <c r="F11" s="22">
        <v>2053390</v>
      </c>
      <c r="G11" s="22">
        <v>26689</v>
      </c>
      <c r="H11" s="29">
        <v>38323</v>
      </c>
    </row>
    <row r="12" spans="1:8" ht="18" customHeight="1" x14ac:dyDescent="0.25">
      <c r="A12" s="26">
        <v>11</v>
      </c>
      <c r="B12" s="20" t="s">
        <v>27</v>
      </c>
      <c r="C12" s="21" t="s">
        <v>35</v>
      </c>
      <c r="D12" s="20" t="s">
        <v>29</v>
      </c>
      <c r="E12" s="22">
        <v>2430366</v>
      </c>
      <c r="F12" s="22">
        <v>2527323</v>
      </c>
      <c r="G12" s="22">
        <f>SUM(G7:G11)</f>
        <v>503608</v>
      </c>
      <c r="H12" s="29">
        <f>SUM(H7:H11)</f>
        <v>592408</v>
      </c>
    </row>
    <row r="13" spans="1:8" ht="18" customHeight="1" x14ac:dyDescent="0.25">
      <c r="A13" s="25">
        <v>12</v>
      </c>
      <c r="B13" s="14" t="s">
        <v>36</v>
      </c>
      <c r="C13" s="15" t="s">
        <v>37</v>
      </c>
      <c r="D13" s="14" t="s">
        <v>38</v>
      </c>
      <c r="E13" s="17">
        <v>88.8</v>
      </c>
      <c r="F13" s="16">
        <v>85</v>
      </c>
      <c r="G13" s="16">
        <v>21</v>
      </c>
      <c r="H13" s="27">
        <v>7</v>
      </c>
    </row>
    <row r="14" spans="1:8" ht="18" customHeight="1" x14ac:dyDescent="0.25">
      <c r="A14" s="25">
        <v>13</v>
      </c>
      <c r="B14" s="14" t="s">
        <v>36</v>
      </c>
      <c r="C14" s="15" t="s">
        <v>39</v>
      </c>
      <c r="D14" s="14" t="s">
        <v>38</v>
      </c>
      <c r="E14" s="17">
        <v>136.4</v>
      </c>
      <c r="F14" s="16">
        <v>255</v>
      </c>
      <c r="G14" s="16">
        <v>1</v>
      </c>
      <c r="H14" s="27">
        <v>2</v>
      </c>
    </row>
    <row r="15" spans="1:8" ht="18" customHeight="1" x14ac:dyDescent="0.25">
      <c r="A15" s="25">
        <v>14</v>
      </c>
      <c r="B15" s="14" t="s">
        <v>36</v>
      </c>
      <c r="C15" s="15" t="s">
        <v>40</v>
      </c>
      <c r="D15" s="14" t="s">
        <v>38</v>
      </c>
      <c r="E15" s="17">
        <v>49.3</v>
      </c>
      <c r="F15" s="16">
        <v>60</v>
      </c>
      <c r="G15" s="16">
        <v>14</v>
      </c>
      <c r="H15" s="27">
        <v>15</v>
      </c>
    </row>
    <row r="16" spans="1:8" ht="18" customHeight="1" x14ac:dyDescent="0.25">
      <c r="A16" s="25">
        <v>15</v>
      </c>
      <c r="B16" s="14" t="s">
        <v>36</v>
      </c>
      <c r="C16" s="15" t="s">
        <v>41</v>
      </c>
      <c r="D16" s="14" t="s">
        <v>42</v>
      </c>
      <c r="E16" s="13" t="s">
        <v>33</v>
      </c>
      <c r="F16" s="13" t="s">
        <v>33</v>
      </c>
      <c r="G16" s="13" t="s">
        <v>33</v>
      </c>
      <c r="H16" s="31" t="s">
        <v>33</v>
      </c>
    </row>
    <row r="17" spans="1:8" ht="18" customHeight="1" x14ac:dyDescent="0.25">
      <c r="A17" s="25">
        <v>16</v>
      </c>
      <c r="B17" s="14" t="s">
        <v>36</v>
      </c>
      <c r="C17" s="15" t="s">
        <v>43</v>
      </c>
      <c r="D17" s="14" t="s">
        <v>42</v>
      </c>
      <c r="E17" s="13" t="s">
        <v>33</v>
      </c>
      <c r="F17" s="13" t="s">
        <v>33</v>
      </c>
      <c r="G17" s="13" t="s">
        <v>33</v>
      </c>
      <c r="H17" s="31" t="s">
        <v>33</v>
      </c>
    </row>
    <row r="18" spans="1:8" ht="18" customHeight="1" x14ac:dyDescent="0.25">
      <c r="A18" s="25"/>
      <c r="B18" s="14" t="s">
        <v>36</v>
      </c>
      <c r="C18" s="15" t="s">
        <v>44</v>
      </c>
      <c r="D18" s="14" t="s">
        <v>42</v>
      </c>
      <c r="E18" s="13" t="s">
        <v>33</v>
      </c>
      <c r="F18" s="13" t="s">
        <v>33</v>
      </c>
      <c r="G18" s="13" t="s">
        <v>33</v>
      </c>
      <c r="H18" s="31" t="s">
        <v>33</v>
      </c>
    </row>
    <row r="19" spans="1:8" ht="18" customHeight="1" x14ac:dyDescent="0.25">
      <c r="A19" s="25">
        <v>17</v>
      </c>
      <c r="B19" s="14" t="s">
        <v>36</v>
      </c>
      <c r="C19" s="15" t="s">
        <v>45</v>
      </c>
      <c r="D19" s="14" t="s">
        <v>42</v>
      </c>
      <c r="E19" s="13" t="s">
        <v>33</v>
      </c>
      <c r="F19" s="13" t="s">
        <v>33</v>
      </c>
      <c r="G19" s="13" t="s">
        <v>33</v>
      </c>
      <c r="H19" s="31" t="s">
        <v>33</v>
      </c>
    </row>
    <row r="20" spans="1:8" ht="18" customHeight="1" x14ac:dyDescent="0.25">
      <c r="A20" s="26">
        <v>18</v>
      </c>
      <c r="B20" s="20" t="s">
        <v>46</v>
      </c>
      <c r="C20" s="21" t="s">
        <v>47</v>
      </c>
      <c r="D20" s="20" t="s">
        <v>48</v>
      </c>
      <c r="E20" s="22">
        <v>33370</v>
      </c>
      <c r="F20" s="22">
        <v>36076</v>
      </c>
      <c r="G20" s="22">
        <v>29544</v>
      </c>
      <c r="H20" s="29">
        <v>11018</v>
      </c>
    </row>
    <row r="21" spans="1:8" ht="18" customHeight="1" x14ac:dyDescent="0.25">
      <c r="A21" s="26">
        <v>19</v>
      </c>
      <c r="B21" s="20" t="s">
        <v>46</v>
      </c>
      <c r="C21" s="21" t="s">
        <v>49</v>
      </c>
      <c r="D21" s="20" t="s">
        <v>48</v>
      </c>
      <c r="E21" s="22">
        <v>24643</v>
      </c>
      <c r="F21" s="22">
        <v>24362</v>
      </c>
      <c r="G21" s="22">
        <v>23932</v>
      </c>
      <c r="H21" s="29">
        <v>27247</v>
      </c>
    </row>
    <row r="22" spans="1:8" ht="18" customHeight="1" x14ac:dyDescent="0.25">
      <c r="A22" s="26">
        <v>20</v>
      </c>
      <c r="B22" s="20" t="s">
        <v>46</v>
      </c>
      <c r="C22" s="21" t="s">
        <v>50</v>
      </c>
      <c r="D22" s="20" t="s">
        <v>48</v>
      </c>
      <c r="E22" s="22">
        <f>SUM(E20:E21)</f>
        <v>58013</v>
      </c>
      <c r="F22" s="22">
        <f>SUM(F20:F21)</f>
        <v>60438</v>
      </c>
      <c r="G22" s="22">
        <f>SUM(G20:G21)</f>
        <v>53476</v>
      </c>
      <c r="H22" s="29">
        <f>SUM(H20:H21)</f>
        <v>38265</v>
      </c>
    </row>
    <row r="23" spans="1:8" ht="18" customHeight="1" x14ac:dyDescent="0.25">
      <c r="A23" s="26">
        <v>21</v>
      </c>
      <c r="B23" s="20" t="s">
        <v>46</v>
      </c>
      <c r="C23" s="21" t="s">
        <v>51</v>
      </c>
      <c r="D23" s="20" t="s">
        <v>52</v>
      </c>
      <c r="E23" s="23">
        <v>7.9999999999999996E-7</v>
      </c>
      <c r="F23" s="23">
        <v>6.9999999999999997E-7</v>
      </c>
      <c r="G23" s="23">
        <v>5.9999999999999997E-7</v>
      </c>
      <c r="H23" s="32">
        <v>3.9999999999999998E-7</v>
      </c>
    </row>
    <row r="24" spans="1:8" ht="18" customHeight="1" x14ac:dyDescent="0.25">
      <c r="A24" s="26">
        <v>22</v>
      </c>
      <c r="B24" s="20" t="s">
        <v>46</v>
      </c>
      <c r="C24" s="21" t="s">
        <v>53</v>
      </c>
      <c r="D24" s="20" t="s">
        <v>54</v>
      </c>
      <c r="E24" s="23">
        <v>1.7999999999999999E-6</v>
      </c>
      <c r="F24" s="23">
        <v>1.5E-6</v>
      </c>
      <c r="G24" s="23">
        <v>1.3E-6</v>
      </c>
      <c r="H24" s="32">
        <v>7.9999999999999996E-6</v>
      </c>
    </row>
    <row r="25" spans="1:8" ht="18" customHeight="1" x14ac:dyDescent="0.25">
      <c r="A25" s="26">
        <v>23</v>
      </c>
      <c r="B25" s="20" t="s">
        <v>46</v>
      </c>
      <c r="C25" s="21" t="s">
        <v>55</v>
      </c>
      <c r="D25" s="20" t="s">
        <v>56</v>
      </c>
      <c r="E25" s="24">
        <v>0.17</v>
      </c>
      <c r="F25" s="24">
        <v>0.16</v>
      </c>
      <c r="G25" s="24">
        <v>0.25</v>
      </c>
      <c r="H25" s="33">
        <v>0.2</v>
      </c>
    </row>
    <row r="26" spans="1:8" ht="18" customHeight="1" x14ac:dyDescent="0.25">
      <c r="A26" s="25">
        <v>24</v>
      </c>
      <c r="B26" s="14" t="s">
        <v>57</v>
      </c>
      <c r="C26" s="15" t="s">
        <v>58</v>
      </c>
      <c r="D26" s="14" t="s">
        <v>59</v>
      </c>
      <c r="E26" s="16">
        <v>1339</v>
      </c>
      <c r="F26" s="16">
        <v>1029</v>
      </c>
      <c r="G26" s="16">
        <v>1340</v>
      </c>
      <c r="H26" s="27">
        <v>1487</v>
      </c>
    </row>
    <row r="27" spans="1:8" ht="18" customHeight="1" x14ac:dyDescent="0.25">
      <c r="A27" s="25">
        <v>25</v>
      </c>
      <c r="B27" s="14" t="s">
        <v>57</v>
      </c>
      <c r="C27" s="15" t="s">
        <v>60</v>
      </c>
      <c r="D27" s="14" t="s">
        <v>59</v>
      </c>
      <c r="E27" s="16">
        <v>2</v>
      </c>
      <c r="F27" s="17">
        <v>1.34</v>
      </c>
      <c r="G27" s="17">
        <v>1.94</v>
      </c>
      <c r="H27" s="34">
        <v>0.99</v>
      </c>
    </row>
    <row r="28" spans="1:8" ht="18" customHeight="1" x14ac:dyDescent="0.25">
      <c r="A28" s="25">
        <v>26</v>
      </c>
      <c r="B28" s="14" t="s">
        <v>57</v>
      </c>
      <c r="C28" s="15" t="s">
        <v>61</v>
      </c>
      <c r="D28" s="14" t="s">
        <v>59</v>
      </c>
      <c r="E28" s="16">
        <v>0</v>
      </c>
      <c r="F28" s="16">
        <v>0</v>
      </c>
      <c r="G28" s="17">
        <v>0.49</v>
      </c>
      <c r="H28" s="34">
        <v>0.76</v>
      </c>
    </row>
    <row r="29" spans="1:8" ht="18" customHeight="1" x14ac:dyDescent="0.25">
      <c r="A29" s="25">
        <v>27</v>
      </c>
      <c r="B29" s="14" t="s">
        <v>57</v>
      </c>
      <c r="C29" s="15" t="s">
        <v>62</v>
      </c>
      <c r="D29" s="14" t="s">
        <v>59</v>
      </c>
      <c r="E29" s="16">
        <v>0</v>
      </c>
      <c r="F29" s="16">
        <v>0</v>
      </c>
      <c r="G29" s="13" t="s">
        <v>33</v>
      </c>
      <c r="H29" s="31" t="s">
        <v>33</v>
      </c>
    </row>
    <row r="30" spans="1:8" ht="18" customHeight="1" x14ac:dyDescent="0.25">
      <c r="A30" s="25">
        <v>28</v>
      </c>
      <c r="B30" s="14" t="s">
        <v>57</v>
      </c>
      <c r="C30" s="15" t="s">
        <v>63</v>
      </c>
      <c r="D30" s="14" t="s">
        <v>59</v>
      </c>
      <c r="E30" s="16">
        <v>0</v>
      </c>
      <c r="F30" s="17">
        <v>0.18</v>
      </c>
      <c r="G30" s="17">
        <v>2.2999999999999998</v>
      </c>
      <c r="H30" s="34">
        <v>0.4</v>
      </c>
    </row>
    <row r="31" spans="1:8" ht="18" customHeight="1" x14ac:dyDescent="0.25">
      <c r="A31" s="25">
        <v>29</v>
      </c>
      <c r="B31" s="14" t="s">
        <v>57</v>
      </c>
      <c r="C31" s="15" t="s">
        <v>64</v>
      </c>
      <c r="D31" s="14" t="s">
        <v>59</v>
      </c>
      <c r="E31" s="16">
        <v>0</v>
      </c>
      <c r="F31" s="16">
        <v>0</v>
      </c>
      <c r="G31" s="13" t="s">
        <v>33</v>
      </c>
      <c r="H31" s="31" t="s">
        <v>33</v>
      </c>
    </row>
    <row r="32" spans="1:8" ht="18" customHeight="1" x14ac:dyDescent="0.25">
      <c r="A32" s="25">
        <v>30</v>
      </c>
      <c r="B32" s="14" t="s">
        <v>57</v>
      </c>
      <c r="C32" s="15" t="s">
        <v>65</v>
      </c>
      <c r="D32" s="14" t="s">
        <v>59</v>
      </c>
      <c r="E32" s="16">
        <v>235</v>
      </c>
      <c r="F32" s="16">
        <v>409</v>
      </c>
      <c r="G32" s="16">
        <v>228</v>
      </c>
      <c r="H32" s="27">
        <v>405</v>
      </c>
    </row>
    <row r="33" spans="1:8" ht="18" customHeight="1" x14ac:dyDescent="0.25">
      <c r="A33" s="25">
        <v>31</v>
      </c>
      <c r="B33" s="14" t="s">
        <v>57</v>
      </c>
      <c r="C33" s="15" t="s">
        <v>66</v>
      </c>
      <c r="D33" s="14" t="s">
        <v>59</v>
      </c>
      <c r="E33" s="16">
        <v>3560</v>
      </c>
      <c r="F33" s="16">
        <v>2458</v>
      </c>
      <c r="G33" s="16">
        <v>5919</v>
      </c>
      <c r="H33" s="27">
        <v>4416</v>
      </c>
    </row>
    <row r="34" spans="1:8" ht="18" customHeight="1" x14ac:dyDescent="0.25">
      <c r="A34" s="25"/>
      <c r="B34" s="14" t="s">
        <v>57</v>
      </c>
      <c r="C34" s="15" t="s">
        <v>67</v>
      </c>
      <c r="D34" s="14" t="s">
        <v>59</v>
      </c>
      <c r="E34" s="16">
        <f>SUM(E26:E33)</f>
        <v>5136</v>
      </c>
      <c r="F34" s="16">
        <f>SUM(F26:F33)</f>
        <v>3897.52</v>
      </c>
      <c r="G34" s="16">
        <f>SUM(G26:G33)</f>
        <v>7491.73</v>
      </c>
      <c r="H34" s="27">
        <f>SUM(H26:H33)</f>
        <v>6310.15</v>
      </c>
    </row>
    <row r="35" spans="1:8" ht="18" customHeight="1" x14ac:dyDescent="0.25">
      <c r="A35" s="25"/>
      <c r="B35" s="14" t="s">
        <v>57</v>
      </c>
      <c r="C35" s="15" t="s">
        <v>68</v>
      </c>
      <c r="D35" s="14" t="s">
        <v>59</v>
      </c>
      <c r="E35" s="16">
        <v>4223</v>
      </c>
      <c r="F35" s="16">
        <v>3482</v>
      </c>
      <c r="G35" s="16">
        <v>5395</v>
      </c>
      <c r="H35" s="27">
        <v>6189</v>
      </c>
    </row>
    <row r="36" spans="1:8" ht="18" customHeight="1" x14ac:dyDescent="0.25">
      <c r="A36" s="25"/>
      <c r="B36" s="14" t="s">
        <v>57</v>
      </c>
      <c r="C36" s="15" t="s">
        <v>69</v>
      </c>
      <c r="D36" s="14" t="s">
        <v>59</v>
      </c>
      <c r="E36" s="16">
        <v>97</v>
      </c>
      <c r="F36" s="17">
        <v>5.33</v>
      </c>
      <c r="G36" s="17">
        <v>69.2</v>
      </c>
      <c r="H36" s="34">
        <v>4.54</v>
      </c>
    </row>
    <row r="37" spans="1:8" ht="18" customHeight="1" x14ac:dyDescent="0.25">
      <c r="A37" s="25"/>
      <c r="B37" s="14" t="s">
        <v>70</v>
      </c>
      <c r="C37" s="15" t="s">
        <v>71</v>
      </c>
      <c r="D37" s="14" t="s">
        <v>72</v>
      </c>
      <c r="E37" s="18">
        <v>6.8E-8</v>
      </c>
      <c r="F37" s="18">
        <v>4.6999999999999997E-8</v>
      </c>
      <c r="G37" s="18">
        <v>8.6000000000000002E-8</v>
      </c>
      <c r="H37" s="28">
        <v>6.7000000000000004E-8</v>
      </c>
    </row>
    <row r="38" spans="1:8" ht="18" customHeight="1" x14ac:dyDescent="0.25">
      <c r="A38" s="25"/>
      <c r="B38" s="14" t="s">
        <v>57</v>
      </c>
      <c r="C38" s="15" t="s">
        <v>73</v>
      </c>
      <c r="D38" s="14" t="s">
        <v>74</v>
      </c>
      <c r="E38" s="17">
        <v>0.02</v>
      </c>
      <c r="F38" s="17">
        <v>0.01</v>
      </c>
      <c r="G38" s="17">
        <v>0.02</v>
      </c>
      <c r="H38" s="34">
        <v>0.03</v>
      </c>
    </row>
    <row r="39" spans="1:8" ht="18" customHeight="1" x14ac:dyDescent="0.25">
      <c r="A39" s="26"/>
      <c r="B39" s="20" t="s">
        <v>75</v>
      </c>
      <c r="C39" s="21" t="s">
        <v>76</v>
      </c>
      <c r="D39" s="20" t="s">
        <v>48</v>
      </c>
      <c r="E39" s="22">
        <v>1333796</v>
      </c>
      <c r="F39" s="22">
        <v>1482327</v>
      </c>
      <c r="G39" s="22">
        <v>2208455</v>
      </c>
      <c r="H39" s="29">
        <v>1818735</v>
      </c>
    </row>
    <row r="40" spans="1:8" ht="18" customHeight="1" x14ac:dyDescent="0.25">
      <c r="A40" s="26"/>
      <c r="B40" s="20" t="s">
        <v>75</v>
      </c>
      <c r="C40" s="21" t="s">
        <v>77</v>
      </c>
      <c r="D40" s="20" t="s">
        <v>52</v>
      </c>
      <c r="E40" s="23">
        <v>1.8E-5</v>
      </c>
      <c r="F40" s="23">
        <v>1.8E-5</v>
      </c>
      <c r="G40" s="23">
        <v>2.5000000000000001E-5</v>
      </c>
      <c r="H40" s="32">
        <v>1.9000000000000001E-5</v>
      </c>
    </row>
    <row r="41" spans="1:8" ht="18" customHeight="1" x14ac:dyDescent="0.25">
      <c r="A41" s="26"/>
      <c r="B41" s="20" t="s">
        <v>75</v>
      </c>
      <c r="C41" s="21" t="s">
        <v>78</v>
      </c>
      <c r="D41" s="20" t="s">
        <v>56</v>
      </c>
      <c r="E41" s="24">
        <v>4.01</v>
      </c>
      <c r="F41" s="24">
        <v>4.01</v>
      </c>
      <c r="G41" s="24">
        <v>10.29</v>
      </c>
      <c r="H41" s="33">
        <v>9.2899999999999991</v>
      </c>
    </row>
    <row r="42" spans="1:8" ht="18" customHeight="1" x14ac:dyDescent="0.25">
      <c r="A42" s="25"/>
      <c r="B42" s="14" t="s">
        <v>79</v>
      </c>
      <c r="C42" s="15" t="s">
        <v>80</v>
      </c>
      <c r="D42" s="14" t="s">
        <v>81</v>
      </c>
      <c r="E42" s="13" t="s">
        <v>42</v>
      </c>
      <c r="F42" s="16">
        <v>209302</v>
      </c>
      <c r="G42" s="13" t="s">
        <v>42</v>
      </c>
      <c r="H42" s="31" t="s">
        <v>42</v>
      </c>
    </row>
    <row r="43" spans="1:8" ht="18" customHeight="1" x14ac:dyDescent="0.25">
      <c r="A43" s="25"/>
      <c r="B43" s="14" t="s">
        <v>79</v>
      </c>
      <c r="C43" s="15" t="s">
        <v>82</v>
      </c>
      <c r="D43" s="14" t="s">
        <v>81</v>
      </c>
      <c r="E43" s="13" t="s">
        <v>42</v>
      </c>
      <c r="F43" s="16">
        <v>206800</v>
      </c>
      <c r="G43" s="13" t="s">
        <v>42</v>
      </c>
      <c r="H43" s="31" t="s">
        <v>42</v>
      </c>
    </row>
    <row r="44" spans="1:8" ht="18" customHeight="1" x14ac:dyDescent="0.25">
      <c r="A44" s="25"/>
      <c r="B44" s="14" t="s">
        <v>79</v>
      </c>
      <c r="C44" s="15" t="s">
        <v>83</v>
      </c>
      <c r="D44" s="14" t="s">
        <v>81</v>
      </c>
      <c r="E44" s="13" t="s">
        <v>42</v>
      </c>
      <c r="F44" s="16">
        <v>203200</v>
      </c>
      <c r="G44" s="13" t="s">
        <v>42</v>
      </c>
      <c r="H44" s="31" t="s">
        <v>42</v>
      </c>
    </row>
    <row r="45" spans="1:8" ht="18" customHeight="1" x14ac:dyDescent="0.25">
      <c r="A45" s="25"/>
      <c r="B45" s="14" t="s">
        <v>79</v>
      </c>
      <c r="C45" s="15" t="s">
        <v>84</v>
      </c>
      <c r="D45" s="14" t="s">
        <v>81</v>
      </c>
      <c r="E45" s="13" t="s">
        <v>42</v>
      </c>
      <c r="F45" s="16">
        <v>102000</v>
      </c>
      <c r="G45" s="13" t="s">
        <v>42</v>
      </c>
      <c r="H45" s="31" t="s">
        <v>42</v>
      </c>
    </row>
    <row r="46" spans="1:8" ht="18" customHeight="1" x14ac:dyDescent="0.25">
      <c r="A46" s="25"/>
      <c r="B46" s="14" t="s">
        <v>79</v>
      </c>
      <c r="C46" s="15" t="s">
        <v>85</v>
      </c>
      <c r="D46" s="14" t="s">
        <v>81</v>
      </c>
      <c r="E46" s="13" t="s">
        <v>42</v>
      </c>
      <c r="F46" s="16">
        <v>98880</v>
      </c>
      <c r="G46" s="13" t="s">
        <v>42</v>
      </c>
      <c r="H46" s="31" t="s">
        <v>42</v>
      </c>
    </row>
    <row r="47" spans="1:8" ht="18" customHeight="1" x14ac:dyDescent="0.25">
      <c r="A47" s="25"/>
      <c r="B47" s="14" t="s">
        <v>79</v>
      </c>
      <c r="C47" s="15" t="s">
        <v>86</v>
      </c>
      <c r="D47" s="14" t="s">
        <v>81</v>
      </c>
      <c r="E47" s="13" t="s">
        <v>42</v>
      </c>
      <c r="F47" s="16">
        <v>86400</v>
      </c>
      <c r="G47" s="13" t="s">
        <v>42</v>
      </c>
      <c r="H47" s="31" t="s">
        <v>42</v>
      </c>
    </row>
    <row r="48" spans="1:8" ht="18" customHeight="1" x14ac:dyDescent="0.25">
      <c r="A48" s="25"/>
      <c r="B48" s="14" t="s">
        <v>79</v>
      </c>
      <c r="C48" s="15" t="s">
        <v>87</v>
      </c>
      <c r="D48" s="14" t="s">
        <v>81</v>
      </c>
      <c r="E48" s="13" t="s">
        <v>42</v>
      </c>
      <c r="F48" s="16">
        <v>79200</v>
      </c>
      <c r="G48" s="13" t="s">
        <v>42</v>
      </c>
      <c r="H48" s="31" t="s">
        <v>42</v>
      </c>
    </row>
    <row r="49" spans="1:8" ht="18" customHeight="1" x14ac:dyDescent="0.25">
      <c r="A49" s="25"/>
      <c r="B49" s="14" t="s">
        <v>79</v>
      </c>
      <c r="C49" s="15" t="s">
        <v>88</v>
      </c>
      <c r="D49" s="14" t="s">
        <v>81</v>
      </c>
      <c r="E49" s="13" t="s">
        <v>42</v>
      </c>
      <c r="F49" s="16">
        <v>75000</v>
      </c>
      <c r="G49" s="13" t="s">
        <v>42</v>
      </c>
      <c r="H49" s="31" t="s">
        <v>42</v>
      </c>
    </row>
    <row r="50" spans="1:8" ht="18" customHeight="1" x14ac:dyDescent="0.25">
      <c r="A50" s="25"/>
      <c r="B50" s="14" t="s">
        <v>79</v>
      </c>
      <c r="C50" s="15" t="s">
        <v>89</v>
      </c>
      <c r="D50" s="14" t="s">
        <v>81</v>
      </c>
      <c r="E50" s="13" t="s">
        <v>42</v>
      </c>
      <c r="F50" s="16">
        <v>60900</v>
      </c>
      <c r="G50" s="13" t="s">
        <v>42</v>
      </c>
      <c r="H50" s="31" t="s">
        <v>42</v>
      </c>
    </row>
    <row r="51" spans="1:8" ht="18" customHeight="1" x14ac:dyDescent="0.25">
      <c r="A51" s="25"/>
      <c r="B51" s="14" t="s">
        <v>79</v>
      </c>
      <c r="C51" s="15" t="s">
        <v>90</v>
      </c>
      <c r="D51" s="14" t="s">
        <v>81</v>
      </c>
      <c r="E51" s="13" t="s">
        <v>42</v>
      </c>
      <c r="F51" s="16">
        <v>48606</v>
      </c>
      <c r="G51" s="13" t="s">
        <v>42</v>
      </c>
      <c r="H51" s="31" t="s">
        <v>42</v>
      </c>
    </row>
    <row r="52" spans="1:8" ht="18" customHeight="1" x14ac:dyDescent="0.25">
      <c r="A52" s="25"/>
      <c r="B52" s="14" t="s">
        <v>79</v>
      </c>
      <c r="C52" s="15" t="s">
        <v>91</v>
      </c>
      <c r="D52" s="14" t="s">
        <v>81</v>
      </c>
      <c r="E52" s="13" t="s">
        <v>42</v>
      </c>
      <c r="F52" s="16">
        <v>47343</v>
      </c>
      <c r="G52" s="13" t="s">
        <v>42</v>
      </c>
      <c r="H52" s="31" t="s">
        <v>42</v>
      </c>
    </row>
    <row r="53" spans="1:8" ht="18" customHeight="1" x14ac:dyDescent="0.25">
      <c r="A53" s="25"/>
      <c r="B53" s="14" t="s">
        <v>79</v>
      </c>
      <c r="C53" s="15" t="s">
        <v>92</v>
      </c>
      <c r="D53" s="14" t="s">
        <v>81</v>
      </c>
      <c r="E53" s="13" t="s">
        <v>42</v>
      </c>
      <c r="F53" s="16">
        <v>46488</v>
      </c>
      <c r="G53" s="13" t="s">
        <v>42</v>
      </c>
      <c r="H53" s="31" t="s">
        <v>42</v>
      </c>
    </row>
    <row r="54" spans="1:8" ht="18" customHeight="1" x14ac:dyDescent="0.25">
      <c r="A54" s="25"/>
      <c r="B54" s="14" t="s">
        <v>79</v>
      </c>
      <c r="C54" s="15" t="s">
        <v>93</v>
      </c>
      <c r="D54" s="14" t="s">
        <v>81</v>
      </c>
      <c r="E54" s="13" t="s">
        <v>42</v>
      </c>
      <c r="F54" s="16">
        <v>45000</v>
      </c>
      <c r="G54" s="13" t="s">
        <v>42</v>
      </c>
      <c r="H54" s="31" t="s">
        <v>42</v>
      </c>
    </row>
    <row r="55" spans="1:8" ht="18" customHeight="1" x14ac:dyDescent="0.25">
      <c r="A55" s="25"/>
      <c r="B55" s="14" t="s">
        <v>79</v>
      </c>
      <c r="C55" s="15" t="s">
        <v>94</v>
      </c>
      <c r="D55" s="14" t="s">
        <v>81</v>
      </c>
      <c r="E55" s="13" t="s">
        <v>42</v>
      </c>
      <c r="F55" s="16">
        <v>39600</v>
      </c>
      <c r="G55" s="13" t="s">
        <v>42</v>
      </c>
      <c r="H55" s="31" t="s">
        <v>42</v>
      </c>
    </row>
    <row r="56" spans="1:8" ht="18" customHeight="1" x14ac:dyDescent="0.25">
      <c r="A56" s="25"/>
      <c r="B56" s="14" t="s">
        <v>79</v>
      </c>
      <c r="C56" s="15" t="s">
        <v>95</v>
      </c>
      <c r="D56" s="14" t="s">
        <v>81</v>
      </c>
      <c r="E56" s="13" t="s">
        <v>42</v>
      </c>
      <c r="F56" s="16">
        <v>37620</v>
      </c>
      <c r="G56" s="13" t="s">
        <v>42</v>
      </c>
      <c r="H56" s="31" t="s">
        <v>42</v>
      </c>
    </row>
    <row r="57" spans="1:8" ht="18" customHeight="1" x14ac:dyDescent="0.25">
      <c r="A57" s="25"/>
      <c r="B57" s="14" t="s">
        <v>79</v>
      </c>
      <c r="C57" s="15" t="s">
        <v>96</v>
      </c>
      <c r="D57" s="14" t="s">
        <v>81</v>
      </c>
      <c r="E57" s="13" t="s">
        <v>42</v>
      </c>
      <c r="F57" s="16">
        <v>30492</v>
      </c>
      <c r="G57" s="13" t="s">
        <v>42</v>
      </c>
      <c r="H57" s="31" t="s">
        <v>42</v>
      </c>
    </row>
    <row r="58" spans="1:8" ht="18" customHeight="1" x14ac:dyDescent="0.25">
      <c r="A58" s="25"/>
      <c r="B58" s="14" t="s">
        <v>79</v>
      </c>
      <c r="C58" s="15" t="s">
        <v>97</v>
      </c>
      <c r="D58" s="14" t="s">
        <v>81</v>
      </c>
      <c r="E58" s="13" t="s">
        <v>42</v>
      </c>
      <c r="F58" s="16">
        <v>23244</v>
      </c>
      <c r="G58" s="13" t="s">
        <v>42</v>
      </c>
      <c r="H58" s="31" t="s">
        <v>42</v>
      </c>
    </row>
    <row r="59" spans="1:8" ht="18" customHeight="1" x14ac:dyDescent="0.25">
      <c r="A59" s="25"/>
      <c r="B59" s="14" t="s">
        <v>79</v>
      </c>
      <c r="C59" s="15" t="s">
        <v>98</v>
      </c>
      <c r="D59" s="14" t="s">
        <v>81</v>
      </c>
      <c r="E59" s="13" t="s">
        <v>42</v>
      </c>
      <c r="F59" s="16">
        <v>21965</v>
      </c>
      <c r="G59" s="13" t="s">
        <v>42</v>
      </c>
      <c r="H59" s="31" t="s">
        <v>42</v>
      </c>
    </row>
    <row r="60" spans="1:8" ht="18" customHeight="1" x14ac:dyDescent="0.25">
      <c r="A60" s="25"/>
      <c r="B60" s="14" t="s">
        <v>79</v>
      </c>
      <c r="C60" s="15" t="s">
        <v>99</v>
      </c>
      <c r="D60" s="14" t="s">
        <v>81</v>
      </c>
      <c r="E60" s="13" t="s">
        <v>42</v>
      </c>
      <c r="F60" s="16">
        <v>20592</v>
      </c>
      <c r="G60" s="13" t="s">
        <v>42</v>
      </c>
      <c r="H60" s="31" t="s">
        <v>42</v>
      </c>
    </row>
    <row r="61" spans="1:8" ht="18" customHeight="1" x14ac:dyDescent="0.25">
      <c r="A61" s="25"/>
      <c r="B61" s="14" t="s">
        <v>79</v>
      </c>
      <c r="C61" s="15" t="s">
        <v>100</v>
      </c>
      <c r="D61" s="14" t="s">
        <v>81</v>
      </c>
      <c r="E61" s="13" t="s">
        <v>42</v>
      </c>
      <c r="F61" s="16">
        <v>20592</v>
      </c>
      <c r="G61" s="13" t="s">
        <v>42</v>
      </c>
      <c r="H61" s="31" t="s">
        <v>42</v>
      </c>
    </row>
    <row r="62" spans="1:8" ht="18" customHeight="1" x14ac:dyDescent="0.25">
      <c r="A62" s="25"/>
      <c r="B62" s="14" t="s">
        <v>79</v>
      </c>
      <c r="C62" s="15" t="s">
        <v>101</v>
      </c>
      <c r="D62" s="14" t="s">
        <v>81</v>
      </c>
      <c r="E62" s="13" t="s">
        <v>42</v>
      </c>
      <c r="F62" s="16">
        <f>SUM(F42:F61)</f>
        <v>1503224</v>
      </c>
      <c r="G62" s="13" t="s">
        <v>42</v>
      </c>
      <c r="H62" s="31" t="s">
        <v>42</v>
      </c>
    </row>
    <row r="63" spans="1:8" ht="18" customHeight="1" x14ac:dyDescent="0.25">
      <c r="A63" s="25"/>
      <c r="B63" s="14" t="s">
        <v>79</v>
      </c>
      <c r="C63" s="15" t="s">
        <v>102</v>
      </c>
      <c r="D63" s="14" t="s">
        <v>103</v>
      </c>
      <c r="E63" s="13" t="s">
        <v>42</v>
      </c>
      <c r="F63" s="16">
        <v>600</v>
      </c>
      <c r="G63" s="13" t="s">
        <v>42</v>
      </c>
      <c r="H63" s="31" t="s">
        <v>42</v>
      </c>
    </row>
    <row r="64" spans="1:8" ht="18" customHeight="1" x14ac:dyDescent="0.25">
      <c r="A64" s="25"/>
      <c r="B64" s="14" t="s">
        <v>79</v>
      </c>
      <c r="C64" s="15" t="s">
        <v>104</v>
      </c>
      <c r="D64" s="14" t="s">
        <v>103</v>
      </c>
      <c r="E64" s="13" t="s">
        <v>42</v>
      </c>
      <c r="F64" s="16">
        <v>29</v>
      </c>
      <c r="G64" s="13" t="s">
        <v>42</v>
      </c>
      <c r="H64" s="31" t="s">
        <v>42</v>
      </c>
    </row>
    <row r="65" spans="1:8" ht="18" customHeight="1" x14ac:dyDescent="0.25">
      <c r="A65" s="25"/>
      <c r="B65" s="14" t="s">
        <v>79</v>
      </c>
      <c r="C65" s="15" t="s">
        <v>105</v>
      </c>
      <c r="D65" s="14" t="s">
        <v>103</v>
      </c>
      <c r="E65" s="13" t="s">
        <v>42</v>
      </c>
      <c r="F65" s="16">
        <v>500</v>
      </c>
      <c r="G65" s="13" t="s">
        <v>42</v>
      </c>
      <c r="H65" s="31" t="s">
        <v>42</v>
      </c>
    </row>
    <row r="66" spans="1:8" ht="18" customHeight="1" x14ac:dyDescent="0.25">
      <c r="A66" s="25"/>
      <c r="B66" s="14" t="s">
        <v>79</v>
      </c>
      <c r="C66" s="15" t="s">
        <v>106</v>
      </c>
      <c r="D66" s="14" t="s">
        <v>103</v>
      </c>
      <c r="E66" s="13" t="s">
        <v>42</v>
      </c>
      <c r="F66" s="16">
        <f>SUM(F63:F65)</f>
        <v>1129</v>
      </c>
      <c r="G66" s="13" t="s">
        <v>42</v>
      </c>
      <c r="H66" s="31" t="s">
        <v>42</v>
      </c>
    </row>
    <row r="67" spans="1:8" ht="18" customHeight="1" x14ac:dyDescent="0.25">
      <c r="A67" s="25"/>
      <c r="B67" s="14" t="s">
        <v>79</v>
      </c>
      <c r="C67" s="15" t="s">
        <v>107</v>
      </c>
      <c r="D67" s="14" t="s">
        <v>81</v>
      </c>
      <c r="E67" s="13" t="s">
        <v>42</v>
      </c>
      <c r="F67" s="13" t="s">
        <v>33</v>
      </c>
      <c r="G67" s="16">
        <v>400000</v>
      </c>
      <c r="H67" s="31" t="s">
        <v>42</v>
      </c>
    </row>
    <row r="68" spans="1:8" ht="18" customHeight="1" x14ac:dyDescent="0.25">
      <c r="A68" s="25"/>
      <c r="B68" s="14" t="s">
        <v>79</v>
      </c>
      <c r="C68" s="15" t="s">
        <v>108</v>
      </c>
      <c r="D68" s="14" t="s">
        <v>81</v>
      </c>
      <c r="E68" s="13" t="s">
        <v>42</v>
      </c>
      <c r="F68" s="13" t="s">
        <v>33</v>
      </c>
      <c r="G68" s="16">
        <v>340000</v>
      </c>
      <c r="H68" s="31" t="s">
        <v>42</v>
      </c>
    </row>
    <row r="69" spans="1:8" ht="18" customHeight="1" x14ac:dyDescent="0.25">
      <c r="A69" s="25"/>
      <c r="B69" s="14" t="s">
        <v>79</v>
      </c>
      <c r="C69" s="15" t="s">
        <v>109</v>
      </c>
      <c r="D69" s="14" t="s">
        <v>81</v>
      </c>
      <c r="E69" s="13" t="s">
        <v>42</v>
      </c>
      <c r="F69" s="13" t="s">
        <v>33</v>
      </c>
      <c r="G69" s="16">
        <v>237600</v>
      </c>
      <c r="H69" s="31" t="s">
        <v>42</v>
      </c>
    </row>
    <row r="70" spans="1:8" ht="18" customHeight="1" x14ac:dyDescent="0.25">
      <c r="A70" s="25"/>
      <c r="B70" s="14" t="s">
        <v>79</v>
      </c>
      <c r="C70" s="15" t="s">
        <v>110</v>
      </c>
      <c r="D70" s="14" t="s">
        <v>81</v>
      </c>
      <c r="E70" s="13" t="s">
        <v>42</v>
      </c>
      <c r="F70" s="13" t="s">
        <v>33</v>
      </c>
      <c r="G70" s="16">
        <v>226000</v>
      </c>
      <c r="H70" s="31" t="s">
        <v>42</v>
      </c>
    </row>
    <row r="71" spans="1:8" ht="18" customHeight="1" x14ac:dyDescent="0.25">
      <c r="A71" s="25"/>
      <c r="B71" s="14" t="s">
        <v>79</v>
      </c>
      <c r="C71" s="15" t="s">
        <v>111</v>
      </c>
      <c r="D71" s="14" t="s">
        <v>81</v>
      </c>
      <c r="E71" s="13" t="s">
        <v>42</v>
      </c>
      <c r="F71" s="13" t="s">
        <v>33</v>
      </c>
      <c r="G71" s="16">
        <v>204600</v>
      </c>
      <c r="H71" s="31" t="s">
        <v>42</v>
      </c>
    </row>
    <row r="72" spans="1:8" ht="18" customHeight="1" x14ac:dyDescent="0.25">
      <c r="A72" s="25"/>
      <c r="B72" s="14" t="s">
        <v>79</v>
      </c>
      <c r="C72" s="15" t="s">
        <v>112</v>
      </c>
      <c r="D72" s="14" t="s">
        <v>81</v>
      </c>
      <c r="E72" s="13" t="s">
        <v>42</v>
      </c>
      <c r="F72" s="13" t="s">
        <v>33</v>
      </c>
      <c r="G72" s="16">
        <v>200970</v>
      </c>
      <c r="H72" s="31" t="s">
        <v>42</v>
      </c>
    </row>
    <row r="73" spans="1:8" ht="18" customHeight="1" x14ac:dyDescent="0.25">
      <c r="A73" s="25"/>
      <c r="B73" s="14" t="s">
        <v>79</v>
      </c>
      <c r="C73" s="15" t="s">
        <v>113</v>
      </c>
      <c r="D73" s="14" t="s">
        <v>81</v>
      </c>
      <c r="E73" s="13" t="s">
        <v>42</v>
      </c>
      <c r="F73" s="13" t="s">
        <v>33</v>
      </c>
      <c r="G73" s="16">
        <v>175000</v>
      </c>
      <c r="H73" s="31" t="s">
        <v>42</v>
      </c>
    </row>
    <row r="74" spans="1:8" ht="18" customHeight="1" x14ac:dyDescent="0.25">
      <c r="A74" s="25"/>
      <c r="B74" s="14" t="s">
        <v>79</v>
      </c>
      <c r="C74" s="15" t="s">
        <v>114</v>
      </c>
      <c r="D74" s="14" t="s">
        <v>81</v>
      </c>
      <c r="E74" s="13" t="s">
        <v>42</v>
      </c>
      <c r="F74" s="13" t="s">
        <v>33</v>
      </c>
      <c r="G74" s="16">
        <v>165000</v>
      </c>
      <c r="H74" s="31" t="s">
        <v>42</v>
      </c>
    </row>
    <row r="75" spans="1:8" ht="18" customHeight="1" x14ac:dyDescent="0.25">
      <c r="A75" s="25"/>
      <c r="B75" s="14" t="s">
        <v>79</v>
      </c>
      <c r="C75" s="15" t="s">
        <v>115</v>
      </c>
      <c r="D75" s="14" t="s">
        <v>81</v>
      </c>
      <c r="E75" s="13" t="s">
        <v>42</v>
      </c>
      <c r="F75" s="13" t="s">
        <v>33</v>
      </c>
      <c r="G75" s="16">
        <v>142718</v>
      </c>
      <c r="H75" s="31" t="s">
        <v>42</v>
      </c>
    </row>
    <row r="76" spans="1:8" ht="18" customHeight="1" x14ac:dyDescent="0.25">
      <c r="A76" s="25"/>
      <c r="B76" s="14" t="s">
        <v>79</v>
      </c>
      <c r="C76" s="15" t="s">
        <v>116</v>
      </c>
      <c r="D76" s="14" t="s">
        <v>117</v>
      </c>
      <c r="E76" s="13" t="s">
        <v>42</v>
      </c>
      <c r="F76" s="13" t="s">
        <v>33</v>
      </c>
      <c r="G76" s="16">
        <f>SUM(G67:G75)</f>
        <v>2091888</v>
      </c>
      <c r="H76" s="31" t="s">
        <v>42</v>
      </c>
    </row>
    <row r="77" spans="1:8" ht="18" customHeight="1" x14ac:dyDescent="0.25">
      <c r="A77" s="25"/>
      <c r="B77" s="14" t="s">
        <v>79</v>
      </c>
      <c r="C77" s="15" t="s">
        <v>118</v>
      </c>
      <c r="D77" s="14" t="s">
        <v>103</v>
      </c>
      <c r="E77" s="13" t="s">
        <v>42</v>
      </c>
      <c r="F77" s="13" t="s">
        <v>33</v>
      </c>
      <c r="G77" s="16">
        <v>58800</v>
      </c>
      <c r="H77" s="31" t="s">
        <v>42</v>
      </c>
    </row>
    <row r="78" spans="1:8" ht="18" customHeight="1" x14ac:dyDescent="0.25">
      <c r="A78" s="25"/>
      <c r="B78" s="14" t="s">
        <v>79</v>
      </c>
      <c r="C78" s="15" t="s">
        <v>119</v>
      </c>
      <c r="D78" s="14" t="s">
        <v>103</v>
      </c>
      <c r="E78" s="13" t="s">
        <v>42</v>
      </c>
      <c r="F78" s="13" t="s">
        <v>33</v>
      </c>
      <c r="G78" s="16">
        <v>48148</v>
      </c>
      <c r="H78" s="31" t="s">
        <v>42</v>
      </c>
    </row>
    <row r="79" spans="1:8" ht="18" customHeight="1" x14ac:dyDescent="0.25">
      <c r="A79" s="25"/>
      <c r="B79" s="14" t="s">
        <v>79</v>
      </c>
      <c r="C79" s="15" t="s">
        <v>120</v>
      </c>
      <c r="D79" s="14" t="s">
        <v>103</v>
      </c>
      <c r="E79" s="13" t="s">
        <v>42</v>
      </c>
      <c r="F79" s="13" t="s">
        <v>33</v>
      </c>
      <c r="G79" s="16">
        <v>10193</v>
      </c>
      <c r="H79" s="31" t="s">
        <v>42</v>
      </c>
    </row>
    <row r="80" spans="1:8" ht="18" customHeight="1" x14ac:dyDescent="0.25">
      <c r="A80" s="25"/>
      <c r="B80" s="14" t="s">
        <v>79</v>
      </c>
      <c r="C80" s="15" t="s">
        <v>121</v>
      </c>
      <c r="D80" s="14" t="s">
        <v>103</v>
      </c>
      <c r="E80" s="13" t="s">
        <v>42</v>
      </c>
      <c r="F80" s="13" t="s">
        <v>33</v>
      </c>
      <c r="G80" s="16">
        <f>SUM(G77:G79)</f>
        <v>117141</v>
      </c>
      <c r="H80" s="31" t="s">
        <v>42</v>
      </c>
    </row>
    <row r="81" spans="1:8" ht="18" customHeight="1" x14ac:dyDescent="0.25">
      <c r="A81" s="25"/>
      <c r="B81" s="14" t="s">
        <v>79</v>
      </c>
      <c r="C81" s="15" t="s">
        <v>122</v>
      </c>
      <c r="D81" s="14" t="s">
        <v>123</v>
      </c>
      <c r="E81" s="13" t="s">
        <v>42</v>
      </c>
      <c r="F81" s="13" t="s">
        <v>33</v>
      </c>
      <c r="G81" s="16">
        <v>3000</v>
      </c>
      <c r="H81" s="31" t="s">
        <v>42</v>
      </c>
    </row>
    <row r="82" spans="1:8" ht="18" customHeight="1" x14ac:dyDescent="0.25">
      <c r="A82" s="25"/>
      <c r="B82" s="14" t="s">
        <v>79</v>
      </c>
      <c r="C82" s="15" t="s">
        <v>124</v>
      </c>
      <c r="D82" s="14" t="s">
        <v>123</v>
      </c>
      <c r="E82" s="13" t="s">
        <v>42</v>
      </c>
      <c r="F82" s="13" t="s">
        <v>33</v>
      </c>
      <c r="G82" s="16">
        <v>3000</v>
      </c>
      <c r="H82" s="31" t="s">
        <v>42</v>
      </c>
    </row>
    <row r="83" spans="1:8" ht="18" customHeight="1" x14ac:dyDescent="0.25">
      <c r="A83" s="25"/>
      <c r="B83" s="14" t="s">
        <v>79</v>
      </c>
      <c r="C83" s="15" t="s">
        <v>125</v>
      </c>
      <c r="D83" s="14" t="s">
        <v>123</v>
      </c>
      <c r="E83" s="13" t="s">
        <v>42</v>
      </c>
      <c r="F83" s="13" t="s">
        <v>33</v>
      </c>
      <c r="G83" s="16">
        <f>SUM(G81:G82)</f>
        <v>6000</v>
      </c>
      <c r="H83" s="31" t="s">
        <v>42</v>
      </c>
    </row>
    <row r="84" spans="1:8" ht="18" customHeight="1" x14ac:dyDescent="0.25">
      <c r="A84" s="25"/>
      <c r="B84" s="14" t="s">
        <v>79</v>
      </c>
      <c r="C84" s="15" t="s">
        <v>126</v>
      </c>
      <c r="D84" s="14" t="s">
        <v>29</v>
      </c>
      <c r="E84" s="13" t="s">
        <v>42</v>
      </c>
      <c r="F84" s="13" t="s">
        <v>33</v>
      </c>
      <c r="G84" s="16">
        <v>30720</v>
      </c>
      <c r="H84" s="31" t="s">
        <v>42</v>
      </c>
    </row>
    <row r="85" spans="1:8" ht="18" customHeight="1" x14ac:dyDescent="0.25">
      <c r="A85" s="25"/>
      <c r="B85" s="14" t="s">
        <v>79</v>
      </c>
      <c r="C85" s="15" t="s">
        <v>127</v>
      </c>
      <c r="D85" s="14" t="s">
        <v>29</v>
      </c>
      <c r="E85" s="13" t="s">
        <v>42</v>
      </c>
      <c r="F85" s="13" t="s">
        <v>33</v>
      </c>
      <c r="G85" s="16">
        <v>18000</v>
      </c>
      <c r="H85" s="31" t="s">
        <v>42</v>
      </c>
    </row>
    <row r="86" spans="1:8" ht="18" customHeight="1" x14ac:dyDescent="0.25">
      <c r="A86" s="25"/>
      <c r="B86" s="14" t="s">
        <v>79</v>
      </c>
      <c r="C86" s="15" t="s">
        <v>128</v>
      </c>
      <c r="D86" s="14" t="s">
        <v>29</v>
      </c>
      <c r="E86" s="13" t="s">
        <v>42</v>
      </c>
      <c r="F86" s="13" t="s">
        <v>33</v>
      </c>
      <c r="G86" s="16">
        <v>3120</v>
      </c>
      <c r="H86" s="31" t="s">
        <v>42</v>
      </c>
    </row>
    <row r="87" spans="1:8" ht="18" customHeight="1" x14ac:dyDescent="0.25">
      <c r="A87" s="25"/>
      <c r="B87" s="14" t="s">
        <v>79</v>
      </c>
      <c r="C87" s="15" t="s">
        <v>129</v>
      </c>
      <c r="D87" s="14" t="s">
        <v>29</v>
      </c>
      <c r="E87" s="13" t="s">
        <v>42</v>
      </c>
      <c r="F87" s="13" t="s">
        <v>33</v>
      </c>
      <c r="G87" s="16">
        <f>SUM(G84:G86)</f>
        <v>51840</v>
      </c>
      <c r="H87" s="31" t="s">
        <v>42</v>
      </c>
    </row>
    <row r="88" spans="1:8" ht="18" customHeight="1" x14ac:dyDescent="0.25">
      <c r="A88" s="25"/>
      <c r="B88" s="14" t="s">
        <v>130</v>
      </c>
      <c r="C88" s="15" t="s">
        <v>131</v>
      </c>
      <c r="D88" s="14" t="s">
        <v>81</v>
      </c>
      <c r="E88" s="13" t="s">
        <v>42</v>
      </c>
      <c r="F88" s="13" t="s">
        <v>42</v>
      </c>
      <c r="G88" s="13" t="s">
        <v>42</v>
      </c>
      <c r="H88" s="27">
        <v>2000000</v>
      </c>
    </row>
    <row r="89" spans="1:8" ht="18" customHeight="1" x14ac:dyDescent="0.25">
      <c r="A89" s="25"/>
      <c r="B89" s="14" t="s">
        <v>130</v>
      </c>
      <c r="C89" s="15" t="s">
        <v>132</v>
      </c>
      <c r="D89" s="14" t="s">
        <v>81</v>
      </c>
      <c r="E89" s="13" t="s">
        <v>42</v>
      </c>
      <c r="F89" s="13" t="s">
        <v>42</v>
      </c>
      <c r="G89" s="13" t="s">
        <v>42</v>
      </c>
      <c r="H89" s="27">
        <v>450000</v>
      </c>
    </row>
    <row r="90" spans="1:8" ht="18" customHeight="1" x14ac:dyDescent="0.25">
      <c r="A90" s="25"/>
      <c r="B90" s="14" t="s">
        <v>130</v>
      </c>
      <c r="C90" s="15" t="s">
        <v>133</v>
      </c>
      <c r="D90" s="14" t="s">
        <v>81</v>
      </c>
      <c r="E90" s="13" t="s">
        <v>42</v>
      </c>
      <c r="F90" s="13" t="s">
        <v>42</v>
      </c>
      <c r="G90" s="13" t="s">
        <v>42</v>
      </c>
      <c r="H90" s="27">
        <v>240000</v>
      </c>
    </row>
    <row r="91" spans="1:8" ht="18" customHeight="1" x14ac:dyDescent="0.25">
      <c r="A91" s="25"/>
      <c r="B91" s="14" t="s">
        <v>130</v>
      </c>
      <c r="C91" s="15" t="s">
        <v>134</v>
      </c>
      <c r="D91" s="14" t="s">
        <v>81</v>
      </c>
      <c r="E91" s="16"/>
      <c r="F91" s="16"/>
      <c r="G91" s="16"/>
      <c r="H91" s="27">
        <v>210000</v>
      </c>
    </row>
    <row r="92" spans="1:8" ht="18" customHeight="1" x14ac:dyDescent="0.25">
      <c r="A92" s="25"/>
      <c r="B92" s="14" t="s">
        <v>130</v>
      </c>
      <c r="C92" s="15" t="s">
        <v>135</v>
      </c>
      <c r="D92" s="14" t="s">
        <v>81</v>
      </c>
      <c r="E92" s="16"/>
      <c r="F92" s="16"/>
      <c r="G92" s="16"/>
      <c r="H92" s="27">
        <v>200000</v>
      </c>
    </row>
    <row r="93" spans="1:8" ht="18" customHeight="1" x14ac:dyDescent="0.25">
      <c r="A93" s="25"/>
      <c r="B93" s="14" t="s">
        <v>130</v>
      </c>
      <c r="C93" s="15" t="s">
        <v>136</v>
      </c>
      <c r="D93" s="14"/>
      <c r="E93" s="16"/>
      <c r="F93" s="16"/>
      <c r="G93" s="16"/>
      <c r="H93" s="27">
        <v>104706</v>
      </c>
    </row>
    <row r="94" spans="1:8" ht="18" customHeight="1" x14ac:dyDescent="0.25">
      <c r="A94" s="25"/>
      <c r="B94" s="14" t="s">
        <v>130</v>
      </c>
      <c r="C94" s="15" t="s">
        <v>137</v>
      </c>
      <c r="D94" s="14"/>
      <c r="E94" s="16"/>
      <c r="F94" s="16"/>
      <c r="G94" s="16"/>
      <c r="H94" s="27">
        <v>100000</v>
      </c>
    </row>
    <row r="95" spans="1:8" ht="18" customHeight="1" x14ac:dyDescent="0.25">
      <c r="A95" s="25"/>
      <c r="B95" s="14" t="s">
        <v>130</v>
      </c>
      <c r="C95" s="15" t="s">
        <v>138</v>
      </c>
      <c r="D95" s="14"/>
      <c r="E95" s="16"/>
      <c r="F95" s="16"/>
      <c r="G95" s="16"/>
      <c r="H95" s="27">
        <v>92400</v>
      </c>
    </row>
    <row r="96" spans="1:8" ht="18" customHeight="1" x14ac:dyDescent="0.25">
      <c r="A96" s="25"/>
      <c r="B96" s="14" t="s">
        <v>130</v>
      </c>
      <c r="C96" s="15" t="s">
        <v>139</v>
      </c>
      <c r="D96" s="14"/>
      <c r="E96" s="16"/>
      <c r="F96" s="16"/>
      <c r="G96" s="16"/>
      <c r="H96" s="27">
        <v>83047</v>
      </c>
    </row>
    <row r="97" spans="1:8" ht="18" customHeight="1" x14ac:dyDescent="0.25">
      <c r="A97" s="25"/>
      <c r="B97" s="14" t="s">
        <v>130</v>
      </c>
      <c r="C97" s="15" t="s">
        <v>140</v>
      </c>
      <c r="D97" s="14"/>
      <c r="E97" s="16"/>
      <c r="F97" s="16"/>
      <c r="G97" s="16"/>
      <c r="H97" s="27">
        <v>61600</v>
      </c>
    </row>
    <row r="98" spans="1:8" ht="18" customHeight="1" x14ac:dyDescent="0.25">
      <c r="A98" s="25"/>
      <c r="B98" s="14" t="s">
        <v>130</v>
      </c>
      <c r="C98" s="15" t="s">
        <v>141</v>
      </c>
      <c r="D98" s="14"/>
      <c r="E98" s="16"/>
      <c r="F98" s="16"/>
      <c r="G98" s="16"/>
      <c r="H98" s="27">
        <v>50000</v>
      </c>
    </row>
    <row r="99" spans="1:8" ht="18" customHeight="1" x14ac:dyDescent="0.25">
      <c r="A99" s="25"/>
      <c r="B99" s="14" t="s">
        <v>130</v>
      </c>
      <c r="C99" s="15" t="s">
        <v>142</v>
      </c>
      <c r="D99" s="14"/>
      <c r="E99" s="16"/>
      <c r="F99" s="16"/>
      <c r="G99" s="16"/>
      <c r="H99" s="27">
        <v>44100</v>
      </c>
    </row>
    <row r="100" spans="1:8" ht="18" customHeight="1" x14ac:dyDescent="0.25">
      <c r="A100" s="25"/>
      <c r="B100" s="14" t="s">
        <v>130</v>
      </c>
      <c r="C100" s="15" t="s">
        <v>143</v>
      </c>
      <c r="D100" s="14"/>
      <c r="E100" s="16"/>
      <c r="F100" s="16"/>
      <c r="G100" s="16"/>
      <c r="H100" s="27">
        <v>25596</v>
      </c>
    </row>
    <row r="101" spans="1:8" ht="18" customHeight="1" x14ac:dyDescent="0.25">
      <c r="A101" s="25"/>
      <c r="B101" s="14" t="s">
        <v>130</v>
      </c>
      <c r="C101" s="15" t="s">
        <v>144</v>
      </c>
      <c r="D101" s="14"/>
      <c r="E101" s="16"/>
      <c r="F101" s="16"/>
      <c r="G101" s="16"/>
      <c r="H101" s="27">
        <v>25200</v>
      </c>
    </row>
    <row r="102" spans="1:8" ht="18" customHeight="1" x14ac:dyDescent="0.25">
      <c r="A102" s="25"/>
      <c r="B102" s="14" t="s">
        <v>130</v>
      </c>
      <c r="C102" s="15" t="s">
        <v>145</v>
      </c>
      <c r="D102" s="14"/>
      <c r="E102" s="16"/>
      <c r="F102" s="16"/>
      <c r="G102" s="16"/>
      <c r="H102" s="27">
        <v>23100</v>
      </c>
    </row>
    <row r="103" spans="1:8" ht="18" customHeight="1" x14ac:dyDescent="0.25">
      <c r="A103" s="25"/>
      <c r="B103" s="14" t="s">
        <v>130</v>
      </c>
      <c r="C103" s="15" t="s">
        <v>146</v>
      </c>
      <c r="D103" s="14"/>
      <c r="E103" s="16"/>
      <c r="F103" s="16"/>
      <c r="G103" s="16"/>
      <c r="H103" s="27">
        <v>23016</v>
      </c>
    </row>
    <row r="104" spans="1:8" ht="18" customHeight="1" x14ac:dyDescent="0.25">
      <c r="A104" s="25"/>
      <c r="B104" s="14" t="s">
        <v>130</v>
      </c>
      <c r="C104" s="15" t="s">
        <v>147</v>
      </c>
      <c r="D104" s="14"/>
      <c r="E104" s="16"/>
      <c r="F104" s="16"/>
      <c r="G104" s="16"/>
      <c r="H104" s="27">
        <v>15840</v>
      </c>
    </row>
    <row r="105" spans="1:8" ht="18" customHeight="1" x14ac:dyDescent="0.25">
      <c r="A105" s="25"/>
      <c r="B105" s="14" t="s">
        <v>130</v>
      </c>
      <c r="C105" s="15" t="s">
        <v>148</v>
      </c>
      <c r="D105" s="14"/>
      <c r="E105" s="16"/>
      <c r="F105" s="16"/>
      <c r="G105" s="16"/>
      <c r="H105" s="27">
        <v>15400</v>
      </c>
    </row>
    <row r="106" spans="1:8" ht="18" customHeight="1" x14ac:dyDescent="0.25">
      <c r="A106" s="25"/>
      <c r="B106" s="14" t="s">
        <v>130</v>
      </c>
      <c r="C106" s="15" t="s">
        <v>149</v>
      </c>
      <c r="D106" s="14"/>
      <c r="E106" s="16"/>
      <c r="F106" s="16"/>
      <c r="G106" s="16"/>
      <c r="H106" s="27">
        <v>12144</v>
      </c>
    </row>
    <row r="107" spans="1:8" ht="18" customHeight="1" x14ac:dyDescent="0.25">
      <c r="A107" s="25"/>
      <c r="B107" s="14" t="s">
        <v>130</v>
      </c>
      <c r="C107" s="15" t="s">
        <v>150</v>
      </c>
      <c r="D107" s="14"/>
      <c r="E107" s="16"/>
      <c r="F107" s="16"/>
      <c r="G107" s="16"/>
      <c r="H107" s="27">
        <v>5328</v>
      </c>
    </row>
    <row r="108" spans="1:8" ht="18" customHeight="1" x14ac:dyDescent="0.25">
      <c r="A108" s="25"/>
      <c r="B108" s="14" t="s">
        <v>130</v>
      </c>
      <c r="C108" s="15" t="s">
        <v>151</v>
      </c>
      <c r="D108" s="14"/>
      <c r="E108" s="16"/>
      <c r="F108" s="16"/>
      <c r="G108" s="16"/>
      <c r="H108" s="27">
        <v>3599</v>
      </c>
    </row>
    <row r="109" spans="1:8" ht="18" customHeight="1" x14ac:dyDescent="0.25">
      <c r="A109" s="25"/>
      <c r="B109" s="14" t="s">
        <v>130</v>
      </c>
      <c r="C109" s="15" t="s">
        <v>101</v>
      </c>
      <c r="D109" s="14"/>
      <c r="E109" s="16"/>
      <c r="F109" s="16"/>
      <c r="G109" s="16"/>
      <c r="H109" s="27">
        <f>SUM(H88:H108)</f>
        <v>3785076</v>
      </c>
    </row>
    <row r="110" spans="1:8" ht="18" customHeight="1" x14ac:dyDescent="0.25">
      <c r="A110" s="26"/>
      <c r="B110" s="20" t="s">
        <v>152</v>
      </c>
      <c r="C110" s="21" t="s">
        <v>153</v>
      </c>
      <c r="D110" s="20"/>
      <c r="E110" s="22"/>
      <c r="F110" s="22"/>
      <c r="G110" s="22"/>
      <c r="H110" s="29">
        <v>15000</v>
      </c>
    </row>
    <row r="111" spans="1:8" ht="18" customHeight="1" x14ac:dyDescent="0.25">
      <c r="A111" s="26"/>
      <c r="B111" s="20" t="s">
        <v>152</v>
      </c>
      <c r="C111" s="21" t="s">
        <v>154</v>
      </c>
      <c r="D111" s="20"/>
      <c r="E111" s="22"/>
      <c r="F111" s="22"/>
      <c r="G111" s="22"/>
      <c r="H111" s="29">
        <v>9900</v>
      </c>
    </row>
    <row r="112" spans="1:8" ht="18" customHeight="1" x14ac:dyDescent="0.25">
      <c r="A112" s="26"/>
      <c r="B112" s="20" t="s">
        <v>152</v>
      </c>
      <c r="C112" s="21" t="s">
        <v>155</v>
      </c>
      <c r="D112" s="20"/>
      <c r="E112" s="22"/>
      <c r="F112" s="22"/>
      <c r="G112" s="22"/>
      <c r="H112" s="29">
        <v>6000</v>
      </c>
    </row>
    <row r="113" spans="1:8" ht="18" customHeight="1" x14ac:dyDescent="0.25">
      <c r="A113" s="26"/>
      <c r="B113" s="20" t="s">
        <v>152</v>
      </c>
      <c r="C113" s="21" t="s">
        <v>156</v>
      </c>
      <c r="D113" s="20"/>
      <c r="E113" s="22"/>
      <c r="F113" s="22"/>
      <c r="G113" s="22"/>
      <c r="H113" s="29">
        <v>3240</v>
      </c>
    </row>
    <row r="114" spans="1:8" ht="18" customHeight="1" x14ac:dyDescent="0.25">
      <c r="A114" s="26"/>
      <c r="B114" s="20" t="s">
        <v>152</v>
      </c>
      <c r="C114" s="21" t="s">
        <v>157</v>
      </c>
      <c r="D114" s="20"/>
      <c r="E114" s="22"/>
      <c r="F114" s="22"/>
      <c r="G114" s="22"/>
      <c r="H114" s="29">
        <v>2160</v>
      </c>
    </row>
    <row r="115" spans="1:8" ht="18" customHeight="1" x14ac:dyDescent="0.25">
      <c r="A115" s="26"/>
      <c r="B115" s="20" t="s">
        <v>152</v>
      </c>
      <c r="C115" s="21" t="s">
        <v>106</v>
      </c>
      <c r="D115" s="20"/>
      <c r="E115" s="22"/>
      <c r="F115" s="22"/>
      <c r="G115" s="22"/>
      <c r="H115" s="29">
        <f>SUM(H110:H114)</f>
        <v>36300</v>
      </c>
    </row>
    <row r="116" spans="1:8" ht="18" customHeight="1" x14ac:dyDescent="0.25">
      <c r="A116" s="25"/>
      <c r="B116" s="14" t="s">
        <v>158</v>
      </c>
      <c r="C116" s="15" t="s">
        <v>159</v>
      </c>
      <c r="D116" s="14"/>
      <c r="E116" s="16"/>
      <c r="F116" s="16"/>
      <c r="G116" s="16"/>
      <c r="H116" s="27">
        <v>11467</v>
      </c>
    </row>
    <row r="117" spans="1:8" ht="18" customHeight="1" x14ac:dyDescent="0.25">
      <c r="A117" s="25"/>
      <c r="B117" s="14" t="s">
        <v>158</v>
      </c>
      <c r="C117" s="15" t="s">
        <v>160</v>
      </c>
      <c r="D117" s="14"/>
      <c r="E117" s="16"/>
      <c r="F117" s="16"/>
      <c r="G117" s="16"/>
      <c r="H117" s="27">
        <v>2636</v>
      </c>
    </row>
    <row r="118" spans="1:8" ht="18" customHeight="1" x14ac:dyDescent="0.25">
      <c r="A118" s="38"/>
      <c r="B118" s="39" t="s">
        <v>158</v>
      </c>
      <c r="C118" s="40" t="s">
        <v>161</v>
      </c>
      <c r="D118" s="39"/>
      <c r="E118" s="41"/>
      <c r="F118" s="41"/>
      <c r="G118" s="41"/>
      <c r="H118" s="42">
        <f>SUM(H116:H117)</f>
        <v>14103</v>
      </c>
    </row>
  </sheetData>
  <pageMargins left="0.7" right="0.7" top="0.75" bottom="0.75" header="0.511811023622047" footer="0.511811023622047"/>
  <pageSetup fitToHeight="0" orientation="landscape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BDF8"/>
    <pageSetUpPr fitToPage="1"/>
  </sheetPr>
  <dimension ref="A1:N602"/>
  <sheetViews>
    <sheetView showGridLines="0" zoomScaleNormal="100" workbookViewId="0">
      <pane ySplit="1" topLeftCell="A2" activePane="bottomLeft" state="frozen"/>
      <selection pane="bottomLeft" activeCell="C11" sqref="C11"/>
    </sheetView>
  </sheetViews>
  <sheetFormatPr defaultColWidth="8.6640625" defaultRowHeight="15.6" x14ac:dyDescent="0.3"/>
  <cols>
    <col min="1" max="1" width="52" style="75" customWidth="1"/>
    <col min="2" max="2" width="18.6640625" style="75" customWidth="1"/>
    <col min="3" max="6" width="15" style="75" customWidth="1"/>
    <col min="7" max="7" width="22" style="75" customWidth="1"/>
    <col min="8" max="8" width="54" style="75" customWidth="1"/>
    <col min="9" max="9" width="20" style="75" customWidth="1"/>
    <col min="10" max="10" width="8.6640625" style="75"/>
    <col min="11" max="11" width="18.21875" style="75" bestFit="1" customWidth="1"/>
    <col min="12" max="14" width="20" style="75" bestFit="1" customWidth="1"/>
    <col min="15" max="16384" width="8.6640625" style="75"/>
  </cols>
  <sheetData>
    <row r="1" spans="1:9" ht="30" customHeight="1" x14ac:dyDescent="0.3">
      <c r="A1" s="112" t="s">
        <v>287</v>
      </c>
      <c r="B1" s="112"/>
      <c r="C1" s="112"/>
      <c r="D1" s="112"/>
      <c r="E1" s="112"/>
      <c r="F1" s="112"/>
      <c r="G1" s="112"/>
      <c r="H1" s="112"/>
      <c r="I1" s="112"/>
    </row>
    <row r="2" spans="1:9" x14ac:dyDescent="0.3">
      <c r="A2" s="44" t="s">
        <v>162</v>
      </c>
      <c r="B2" s="75" t="str">
        <f>Executive_Summary!B6</f>
        <v>FY 2024-25</v>
      </c>
    </row>
    <row r="3" spans="1:9" x14ac:dyDescent="0.3">
      <c r="A3" s="44" t="s">
        <v>163</v>
      </c>
      <c r="B3" s="75">
        <f>MATCH(B2,$A$5:$A$8,0)</f>
        <v>3</v>
      </c>
    </row>
    <row r="4" spans="1:9" x14ac:dyDescent="0.3">
      <c r="A4" s="86" t="s">
        <v>164</v>
      </c>
      <c r="B4" s="86" t="s">
        <v>165</v>
      </c>
      <c r="C4" s="86" t="s">
        <v>288</v>
      </c>
    </row>
    <row r="5" spans="1:9" x14ac:dyDescent="0.3">
      <c r="A5" s="73" t="s">
        <v>14</v>
      </c>
      <c r="B5" s="73" t="str">
        <f>Raw_BRSR_Data!E1</f>
        <v>FY 2022-23</v>
      </c>
      <c r="C5" s="74">
        <v>1</v>
      </c>
    </row>
    <row r="6" spans="1:9" x14ac:dyDescent="0.3">
      <c r="A6" s="73" t="s">
        <v>166</v>
      </c>
      <c r="B6" s="73" t="str">
        <f>Raw_BRSR_Data!F1</f>
        <v>FY 2023-2024</v>
      </c>
      <c r="C6" s="74">
        <v>2</v>
      </c>
    </row>
    <row r="7" spans="1:9" x14ac:dyDescent="0.3">
      <c r="A7" s="73" t="s">
        <v>167</v>
      </c>
      <c r="B7" s="73" t="str">
        <f>Raw_BRSR_Data!G1</f>
        <v>FY 2024-2025</v>
      </c>
      <c r="C7" s="74">
        <v>3</v>
      </c>
    </row>
    <row r="8" spans="1:9" x14ac:dyDescent="0.3">
      <c r="A8" s="73" t="s">
        <v>1</v>
      </c>
      <c r="B8" s="73" t="str">
        <f>Raw_BRSR_Data!H1</f>
        <v>FY 2025-2026</v>
      </c>
      <c r="C8" s="74">
        <v>4</v>
      </c>
    </row>
    <row r="9" spans="1:9" s="89" customFormat="1" x14ac:dyDescent="0.3">
      <c r="C9" s="90">
        <f>$C$5</f>
        <v>1</v>
      </c>
      <c r="D9" s="90">
        <f>$C$6</f>
        <v>2</v>
      </c>
      <c r="E9" s="90">
        <f>$C$7</f>
        <v>3</v>
      </c>
      <c r="F9" s="90">
        <f>$C$8</f>
        <v>4</v>
      </c>
    </row>
    <row r="10" spans="1:9" s="88" customFormat="1" ht="24" customHeight="1" x14ac:dyDescent="0.3">
      <c r="A10" s="87" t="s">
        <v>168</v>
      </c>
      <c r="B10" s="86" t="s">
        <v>13</v>
      </c>
      <c r="C10" s="86" t="str">
        <f>$A$5</f>
        <v>FY 2022-23</v>
      </c>
      <c r="D10" s="86" t="str">
        <f>$A$6</f>
        <v>FY 2023-24</v>
      </c>
      <c r="E10" s="86" t="str">
        <f>$A$7</f>
        <v>FY 2024-25</v>
      </c>
      <c r="F10" s="86" t="str">
        <f>$A$8</f>
        <v>FY 2025-26</v>
      </c>
      <c r="G10" s="86" t="str">
        <f>"Selected: "&amp;$B$2</f>
        <v>Selected: FY 2024-25</v>
      </c>
      <c r="H10" s="87" t="s">
        <v>169</v>
      </c>
    </row>
    <row r="11" spans="1:9" x14ac:dyDescent="0.3">
      <c r="A11" s="47" t="s">
        <v>170</v>
      </c>
      <c r="B11" s="76" t="s">
        <v>20</v>
      </c>
      <c r="C11" s="56">
        <f>SUMIFS(INDEX(Raw_BRSR_Data!$E$2:$H$118,0,C$9),Raw_BRSR_Data!$C$2:$C$118,$H11)</f>
        <v>246851828</v>
      </c>
      <c r="D11" s="56">
        <f>SUMIFS(INDEX(Raw_BRSR_Data!$E$2:$H$118,0,D$9),Raw_BRSR_Data!$C$2:$C$118,$H11)</f>
        <v>239056073</v>
      </c>
      <c r="E11" s="56">
        <f>SUMIFS(INDEX(Raw_BRSR_Data!$E$2:$H$118,0,E$9),Raw_BRSR_Data!$C$2:$C$118,$H11)</f>
        <v>400223723</v>
      </c>
      <c r="F11" s="56">
        <f>SUMIFS(INDEX(Raw_BRSR_Data!$E$2:$H$118,0,F$9),Raw_BRSR_Data!$C$2:$C$118,$H11)</f>
        <v>489955171</v>
      </c>
      <c r="G11" s="48">
        <f t="shared" ref="G11:G16" si="0">INDEX(C11:F11,$B$3)</f>
        <v>400223723</v>
      </c>
      <c r="H11" s="47" t="s">
        <v>19</v>
      </c>
    </row>
    <row r="12" spans="1:9" x14ac:dyDescent="0.3">
      <c r="A12" s="47" t="s">
        <v>171</v>
      </c>
      <c r="B12" s="76" t="s">
        <v>20</v>
      </c>
      <c r="C12" s="56">
        <f>SUMIFS(INDEX(Raw_BRSR_Data!$E$2:$H$118,0,C$9),Raw_BRSR_Data!$C$2:$C$118,$H12)</f>
        <v>603727451</v>
      </c>
      <c r="D12" s="56">
        <f>SUMIFS(INDEX(Raw_BRSR_Data!$E$2:$H$118,0,D$9),Raw_BRSR_Data!$C$2:$C$118,$H12)</f>
        <v>635397826</v>
      </c>
      <c r="E12" s="56">
        <f>SUMIFS(INDEX(Raw_BRSR_Data!$E$2:$H$118,0,E$9),Raw_BRSR_Data!$C$2:$C$118,$H12)</f>
        <v>497924771</v>
      </c>
      <c r="F12" s="56">
        <f>SUMIFS(INDEX(Raw_BRSR_Data!$E$2:$H$118,0,F$9),Raw_BRSR_Data!$C$2:$C$118,$H12)</f>
        <v>285642828</v>
      </c>
      <c r="G12" s="48">
        <f t="shared" si="0"/>
        <v>497924771</v>
      </c>
      <c r="H12" s="47" t="s">
        <v>21</v>
      </c>
    </row>
    <row r="13" spans="1:9" x14ac:dyDescent="0.3">
      <c r="A13" s="47" t="s">
        <v>172</v>
      </c>
      <c r="B13" s="76" t="s">
        <v>20</v>
      </c>
      <c r="C13" s="56">
        <f>C11+C12</f>
        <v>850579279</v>
      </c>
      <c r="D13" s="56">
        <f>D11+D12</f>
        <v>874453899</v>
      </c>
      <c r="E13" s="56">
        <f>E11+E12</f>
        <v>898148494</v>
      </c>
      <c r="F13" s="56">
        <f>F11+F12</f>
        <v>775597999</v>
      </c>
      <c r="G13" s="48">
        <f t="shared" si="0"/>
        <v>898148494</v>
      </c>
      <c r="H13" s="47" t="s">
        <v>173</v>
      </c>
    </row>
    <row r="14" spans="1:9" x14ac:dyDescent="0.3">
      <c r="A14" s="47" t="s">
        <v>174</v>
      </c>
      <c r="B14" s="76" t="s">
        <v>175</v>
      </c>
      <c r="C14" s="77">
        <f>IFERROR(C11/C13,0)</f>
        <v>0.29021613163468563</v>
      </c>
      <c r="D14" s="77">
        <f>IFERROR(D11/D13,0)</f>
        <v>0.27337755972427769</v>
      </c>
      <c r="E14" s="77">
        <f>IFERROR(E11/E13,0)</f>
        <v>0.44560974679984267</v>
      </c>
      <c r="F14" s="77">
        <f>IFERROR(F11/F13,0)</f>
        <v>0.63171278372521944</v>
      </c>
      <c r="G14" s="49">
        <f t="shared" si="0"/>
        <v>0.44560974679984267</v>
      </c>
      <c r="H14" s="72"/>
    </row>
    <row r="15" spans="1:9" x14ac:dyDescent="0.3">
      <c r="A15" s="47" t="s">
        <v>23</v>
      </c>
      <c r="B15" s="76" t="s">
        <v>24</v>
      </c>
      <c r="C15" s="78">
        <f>SUMIFS(INDEX(Raw_BRSR_Data!$E$2:$H$118,0,C$9),Raw_BRSR_Data!$C$2:$C$118,$H15)</f>
        <v>1.0999999999999999E-2</v>
      </c>
      <c r="D15" s="78">
        <f>SUMIFS(INDEX(Raw_BRSR_Data!$E$2:$H$118,0,D$9),Raw_BRSR_Data!$C$2:$C$118,$H15)</f>
        <v>1.0999999999999999E-2</v>
      </c>
      <c r="E15" s="78">
        <f>SUMIFS(INDEX(Raw_BRSR_Data!$E$2:$H$118,0,E$9),Raw_BRSR_Data!$C$2:$C$118,$H15)</f>
        <v>1.034E-2</v>
      </c>
      <c r="F15" s="78">
        <f>SUMIFS(INDEX(Raw_BRSR_Data!$E$2:$H$118,0,F$9),Raw_BRSR_Data!$C$2:$C$118,$H15)</f>
        <v>8.2699999999999996E-3</v>
      </c>
      <c r="G15" s="50">
        <f t="shared" si="0"/>
        <v>1.034E-2</v>
      </c>
      <c r="H15" s="47" t="s">
        <v>23</v>
      </c>
    </row>
    <row r="16" spans="1:9" x14ac:dyDescent="0.3">
      <c r="A16" s="47" t="s">
        <v>176</v>
      </c>
      <c r="B16" s="76" t="s">
        <v>26</v>
      </c>
      <c r="C16" s="56">
        <f>SUMIFS(INDEX(Raw_BRSR_Data!$E$2:$H$118,0,C$9),Raw_BRSR_Data!$C$2:$C$118,$H16)</f>
        <v>2558</v>
      </c>
      <c r="D16" s="56">
        <f>SUMIFS(INDEX(Raw_BRSR_Data!$E$2:$H$118,0,D$9),Raw_BRSR_Data!$C$2:$C$118,$H16)</f>
        <v>2367</v>
      </c>
      <c r="E16" s="56">
        <f>SUMIFS(INDEX(Raw_BRSR_Data!$E$2:$H$118,0,E$9),Raw_BRSR_Data!$C$2:$C$118,$H16)</f>
        <v>4185</v>
      </c>
      <c r="F16" s="56">
        <f>SUMIFS(INDEX(Raw_BRSR_Data!$E$2:$H$118,0,F$9),Raw_BRSR_Data!$C$2:$C$118,$H16)</f>
        <v>3963</v>
      </c>
      <c r="G16" s="48">
        <f t="shared" si="0"/>
        <v>4185</v>
      </c>
      <c r="H16" s="47" t="s">
        <v>25</v>
      </c>
    </row>
    <row r="18" spans="1:11" x14ac:dyDescent="0.3">
      <c r="K18"/>
    </row>
    <row r="19" spans="1:11" s="88" customFormat="1" ht="24" customHeight="1" x14ac:dyDescent="0.3">
      <c r="A19" s="87" t="s">
        <v>177</v>
      </c>
      <c r="B19" s="86" t="s">
        <v>13</v>
      </c>
      <c r="C19" s="86" t="str">
        <f>$A$5</f>
        <v>FY 2022-23</v>
      </c>
      <c r="D19" s="86" t="str">
        <f>$A$6</f>
        <v>FY 2023-24</v>
      </c>
      <c r="E19" s="86" t="str">
        <f>$A$7</f>
        <v>FY 2024-25</v>
      </c>
      <c r="F19" s="86" t="str">
        <f>$A$8</f>
        <v>FY 2025-26</v>
      </c>
      <c r="G19" s="86" t="str">
        <f>"Selected: "&amp;$B$2</f>
        <v>Selected: FY 2024-25</v>
      </c>
      <c r="H19" s="87" t="s">
        <v>169</v>
      </c>
      <c r="K19"/>
    </row>
    <row r="20" spans="1:11" x14ac:dyDescent="0.3">
      <c r="A20" s="47" t="s">
        <v>178</v>
      </c>
      <c r="B20" s="76" t="s">
        <v>179</v>
      </c>
      <c r="C20" s="56">
        <f>SUMIFS(INDEX(Raw_BRSR_Data!$E$2:$H$118,0,C$9),Raw_BRSR_Data!$C$2:$C$118,$H20)</f>
        <v>33370</v>
      </c>
      <c r="D20" s="56">
        <f>SUMIFS(INDEX(Raw_BRSR_Data!$E$2:$H$118,0,D$9),Raw_BRSR_Data!$C$2:$C$118,$H20)</f>
        <v>36076</v>
      </c>
      <c r="E20" s="56">
        <f>SUMIFS(INDEX(Raw_BRSR_Data!$E$2:$H$118,0,E$9),Raw_BRSR_Data!$C$2:$C$118,$H20)</f>
        <v>29544</v>
      </c>
      <c r="F20" s="56">
        <f>SUMIFS(INDEX(Raw_BRSR_Data!$E$2:$H$118,0,F$9),Raw_BRSR_Data!$C$2:$C$118,$H20)</f>
        <v>11018</v>
      </c>
      <c r="G20" s="48">
        <f t="shared" ref="G20:G30" si="1">INDEX(C20:F20,$B$3)</f>
        <v>29544</v>
      </c>
      <c r="H20" s="47" t="s">
        <v>47</v>
      </c>
      <c r="K20"/>
    </row>
    <row r="21" spans="1:11" x14ac:dyDescent="0.3">
      <c r="A21" s="47" t="s">
        <v>180</v>
      </c>
      <c r="B21" s="76" t="s">
        <v>179</v>
      </c>
      <c r="C21" s="56">
        <f>SUMIFS(INDEX(Raw_BRSR_Data!$E$2:$H$118,0,C$9),Raw_BRSR_Data!$C$2:$C$118,$H21)</f>
        <v>24643</v>
      </c>
      <c r="D21" s="56">
        <f>SUMIFS(INDEX(Raw_BRSR_Data!$E$2:$H$118,0,D$9),Raw_BRSR_Data!$C$2:$C$118,$H21)</f>
        <v>24362</v>
      </c>
      <c r="E21" s="56">
        <f>SUMIFS(INDEX(Raw_BRSR_Data!$E$2:$H$118,0,E$9),Raw_BRSR_Data!$C$2:$C$118,$H21)</f>
        <v>23932</v>
      </c>
      <c r="F21" s="56">
        <f>SUMIFS(INDEX(Raw_BRSR_Data!$E$2:$H$118,0,F$9),Raw_BRSR_Data!$C$2:$C$118,$H21)</f>
        <v>27247</v>
      </c>
      <c r="G21" s="48">
        <f t="shared" si="1"/>
        <v>23932</v>
      </c>
      <c r="H21" s="47" t="s">
        <v>49</v>
      </c>
      <c r="K21"/>
    </row>
    <row r="22" spans="1:11" x14ac:dyDescent="0.3">
      <c r="A22" s="47" t="s">
        <v>181</v>
      </c>
      <c r="B22" s="76" t="s">
        <v>179</v>
      </c>
      <c r="C22" s="56">
        <f>SUMIFS(INDEX(Raw_BRSR_Data!$E$2:$H$118,0,C$9),Raw_BRSR_Data!$C$2:$C$118,$H22)</f>
        <v>1333796</v>
      </c>
      <c r="D22" s="56">
        <f>SUMIFS(INDEX(Raw_BRSR_Data!$E$2:$H$118,0,D$9),Raw_BRSR_Data!$C$2:$C$118,$H22)</f>
        <v>1482327</v>
      </c>
      <c r="E22" s="56">
        <f>SUMIFS(INDEX(Raw_BRSR_Data!$E$2:$H$118,0,E$9),Raw_BRSR_Data!$C$2:$C$118,$H22)</f>
        <v>2208455</v>
      </c>
      <c r="F22" s="56">
        <f>SUMIFS(INDEX(Raw_BRSR_Data!$E$2:$H$118,0,F$9),Raw_BRSR_Data!$C$2:$C$118,$H22)</f>
        <v>1818735</v>
      </c>
      <c r="G22" s="48">
        <f t="shared" si="1"/>
        <v>2208455</v>
      </c>
      <c r="H22" s="47" t="s">
        <v>76</v>
      </c>
      <c r="K22"/>
    </row>
    <row r="23" spans="1:11" x14ac:dyDescent="0.3">
      <c r="A23" s="47" t="s">
        <v>182</v>
      </c>
      <c r="B23" s="76" t="s">
        <v>179</v>
      </c>
      <c r="C23" s="56">
        <f>C20+C21</f>
        <v>58013</v>
      </c>
      <c r="D23" s="56">
        <f>D20+D21</f>
        <v>60438</v>
      </c>
      <c r="E23" s="56">
        <f>E20+E21</f>
        <v>53476</v>
      </c>
      <c r="F23" s="56">
        <f>F20+F21</f>
        <v>38265</v>
      </c>
      <c r="G23" s="48">
        <f t="shared" si="1"/>
        <v>53476</v>
      </c>
      <c r="H23" s="72"/>
      <c r="K23"/>
    </row>
    <row r="24" spans="1:11" x14ac:dyDescent="0.3">
      <c r="A24" s="47" t="s">
        <v>183</v>
      </c>
      <c r="B24" s="76" t="s">
        <v>179</v>
      </c>
      <c r="C24" s="56">
        <f>C23+C22</f>
        <v>1391809</v>
      </c>
      <c r="D24" s="56">
        <f>D23+D22</f>
        <v>1542765</v>
      </c>
      <c r="E24" s="56">
        <f>E23+E22</f>
        <v>2261931</v>
      </c>
      <c r="F24" s="56">
        <f>F23+F22</f>
        <v>1857000</v>
      </c>
      <c r="G24" s="48">
        <f t="shared" si="1"/>
        <v>2261931</v>
      </c>
      <c r="H24" s="72"/>
      <c r="K24"/>
    </row>
    <row r="25" spans="1:11" x14ac:dyDescent="0.3">
      <c r="A25" s="47" t="s">
        <v>183</v>
      </c>
      <c r="B25" s="76" t="s">
        <v>184</v>
      </c>
      <c r="C25" s="79">
        <f>C24/1000000</f>
        <v>1.3918090000000001</v>
      </c>
      <c r="D25" s="79">
        <f>D24/1000000</f>
        <v>1.5427649999999999</v>
      </c>
      <c r="E25" s="79">
        <f>E24/1000000</f>
        <v>2.2619310000000001</v>
      </c>
      <c r="F25" s="79">
        <f>F24/1000000</f>
        <v>1.857</v>
      </c>
      <c r="G25" s="51">
        <f t="shared" si="1"/>
        <v>2.2619310000000001</v>
      </c>
      <c r="H25" s="47" t="s">
        <v>185</v>
      </c>
      <c r="K25"/>
    </row>
    <row r="26" spans="1:11" x14ac:dyDescent="0.3">
      <c r="A26" s="47" t="s">
        <v>186</v>
      </c>
      <c r="B26" s="76" t="s">
        <v>175</v>
      </c>
      <c r="C26" s="77" t="s">
        <v>187</v>
      </c>
      <c r="D26" s="77">
        <f>IFERROR(D20/C20-1,0)</f>
        <v>8.1090800119868245E-2</v>
      </c>
      <c r="E26" s="77">
        <f>IFERROR(E20/D20-1,0)</f>
        <v>-0.18106220201796208</v>
      </c>
      <c r="F26" s="77">
        <f>IFERROR(F20/E20-1,0)</f>
        <v>-0.62706471703222311</v>
      </c>
      <c r="G26" s="49">
        <f t="shared" si="1"/>
        <v>-0.18106220201796208</v>
      </c>
      <c r="H26" s="72"/>
      <c r="K26"/>
    </row>
    <row r="27" spans="1:11" x14ac:dyDescent="0.3">
      <c r="A27" s="47" t="s">
        <v>188</v>
      </c>
      <c r="B27" s="76" t="s">
        <v>189</v>
      </c>
      <c r="C27" s="80">
        <f>SUMIFS(INDEX(Raw_BRSR_Data!$E$2:$H$118,0,C$9),Raw_BRSR_Data!$C$2:$C$118,$H27)</f>
        <v>7.9999999999999996E-7</v>
      </c>
      <c r="D27" s="80">
        <f>SUMIFS(INDEX(Raw_BRSR_Data!$E$2:$H$118,0,D$9),Raw_BRSR_Data!$C$2:$C$118,$H27)</f>
        <v>6.9999999999999997E-7</v>
      </c>
      <c r="E27" s="80">
        <f>SUMIFS(INDEX(Raw_BRSR_Data!$E$2:$H$118,0,E$9),Raw_BRSR_Data!$C$2:$C$118,$H27)</f>
        <v>5.9999999999999997E-7</v>
      </c>
      <c r="F27" s="80">
        <f>SUMIFS(INDEX(Raw_BRSR_Data!$E$2:$H$118,0,F$9),Raw_BRSR_Data!$C$2:$C$118,$H27)</f>
        <v>3.9999999999999998E-7</v>
      </c>
      <c r="G27" s="52">
        <f t="shared" si="1"/>
        <v>5.9999999999999997E-7</v>
      </c>
      <c r="H27" s="47" t="s">
        <v>51</v>
      </c>
      <c r="K27"/>
    </row>
    <row r="28" spans="1:11" ht="31.2" x14ac:dyDescent="0.3">
      <c r="A28" s="47" t="s">
        <v>190</v>
      </c>
      <c r="B28" s="76" t="s">
        <v>191</v>
      </c>
      <c r="C28" s="81">
        <f>SUMIFS(INDEX(Raw_BRSR_Data!$E$2:$H$118,0,C$9),Raw_BRSR_Data!$C$2:$C$118,$H28)</f>
        <v>0.17</v>
      </c>
      <c r="D28" s="81">
        <f>SUMIFS(INDEX(Raw_BRSR_Data!$E$2:$H$118,0,D$9),Raw_BRSR_Data!$C$2:$C$118,$H28)</f>
        <v>0.16</v>
      </c>
      <c r="E28" s="81">
        <f>SUMIFS(INDEX(Raw_BRSR_Data!$E$2:$H$118,0,E$9),Raw_BRSR_Data!$C$2:$C$118,$H28)</f>
        <v>0.25</v>
      </c>
      <c r="F28" s="81">
        <f>SUMIFS(INDEX(Raw_BRSR_Data!$E$2:$H$118,0,F$9),Raw_BRSR_Data!$C$2:$C$118,$H28)</f>
        <v>0.2</v>
      </c>
      <c r="G28" s="53">
        <f t="shared" si="1"/>
        <v>0.25</v>
      </c>
      <c r="H28" s="47" t="s">
        <v>55</v>
      </c>
      <c r="K28"/>
    </row>
    <row r="29" spans="1:11" x14ac:dyDescent="0.3">
      <c r="A29" s="47" t="s">
        <v>192</v>
      </c>
      <c r="B29" s="76" t="s">
        <v>189</v>
      </c>
      <c r="C29" s="80">
        <f>SUMIFS(INDEX(Raw_BRSR_Data!$E$2:$H$118,0,C$9),Raw_BRSR_Data!$C$2:$C$118,$H29)</f>
        <v>1.8E-5</v>
      </c>
      <c r="D29" s="80">
        <f>SUMIFS(INDEX(Raw_BRSR_Data!$E$2:$H$118,0,D$9),Raw_BRSR_Data!$C$2:$C$118,$H29)</f>
        <v>1.8E-5</v>
      </c>
      <c r="E29" s="80">
        <f>SUMIFS(INDEX(Raw_BRSR_Data!$E$2:$H$118,0,E$9),Raw_BRSR_Data!$C$2:$C$118,$H29)</f>
        <v>2.5000000000000001E-5</v>
      </c>
      <c r="F29" s="80">
        <f>SUMIFS(INDEX(Raw_BRSR_Data!$E$2:$H$118,0,F$9),Raw_BRSR_Data!$C$2:$C$118,$H29)</f>
        <v>1.9000000000000001E-5</v>
      </c>
      <c r="G29" s="52">
        <f t="shared" si="1"/>
        <v>2.5000000000000001E-5</v>
      </c>
      <c r="H29" s="47" t="s">
        <v>77</v>
      </c>
      <c r="K29"/>
    </row>
    <row r="30" spans="1:11" x14ac:dyDescent="0.3">
      <c r="A30" s="47" t="s">
        <v>193</v>
      </c>
      <c r="B30" s="76" t="s">
        <v>191</v>
      </c>
      <c r="C30" s="81">
        <f>SUMIFS(INDEX(Raw_BRSR_Data!$E$2:$H$118,0,C$9),Raw_BRSR_Data!$C$2:$C$118,$H30)</f>
        <v>4.01</v>
      </c>
      <c r="D30" s="81">
        <f>SUMIFS(INDEX(Raw_BRSR_Data!$E$2:$H$118,0,D$9),Raw_BRSR_Data!$C$2:$C$118,$H30)</f>
        <v>4.01</v>
      </c>
      <c r="E30" s="81">
        <f>SUMIFS(INDEX(Raw_BRSR_Data!$E$2:$H$118,0,E$9),Raw_BRSR_Data!$C$2:$C$118,$H30)</f>
        <v>10.29</v>
      </c>
      <c r="F30" s="81">
        <f>SUMIFS(INDEX(Raw_BRSR_Data!$E$2:$H$118,0,F$9),Raw_BRSR_Data!$C$2:$C$118,$H30)</f>
        <v>9.2899999999999991</v>
      </c>
      <c r="G30" s="53">
        <f t="shared" si="1"/>
        <v>10.29</v>
      </c>
      <c r="H30" s="47" t="s">
        <v>78</v>
      </c>
      <c r="K30"/>
    </row>
    <row r="31" spans="1:11" x14ac:dyDescent="0.3">
      <c r="K31"/>
    </row>
    <row r="32" spans="1:11" x14ac:dyDescent="0.3">
      <c r="K32"/>
    </row>
    <row r="33" spans="1:14" s="88" customFormat="1" ht="24" customHeight="1" x14ac:dyDescent="0.3">
      <c r="A33" s="87" t="s">
        <v>194</v>
      </c>
      <c r="B33" s="86" t="s">
        <v>13</v>
      </c>
      <c r="C33" s="86" t="str">
        <f>$A$5</f>
        <v>FY 2022-23</v>
      </c>
      <c r="D33" s="86" t="str">
        <f>$A$6</f>
        <v>FY 2023-24</v>
      </c>
      <c r="E33" s="86" t="str">
        <f>$A$7</f>
        <v>FY 2024-25</v>
      </c>
      <c r="F33" s="86" t="str">
        <f>$A$8</f>
        <v>FY 2025-26</v>
      </c>
      <c r="G33" s="86" t="str">
        <f>"Selected: "&amp;$B$2</f>
        <v>Selected: FY 2024-25</v>
      </c>
      <c r="H33" s="87" t="s">
        <v>169</v>
      </c>
      <c r="K33"/>
    </row>
    <row r="34" spans="1:14" x14ac:dyDescent="0.3">
      <c r="A34" s="47" t="s">
        <v>28</v>
      </c>
      <c r="B34" s="76" t="s">
        <v>29</v>
      </c>
      <c r="C34" s="56">
        <f>SUMIFS(INDEX(Raw_BRSR_Data!$E$2:$H$118,0,C$9),Raw_BRSR_Data!$C$2:$C$118,$H34)</f>
        <v>0</v>
      </c>
      <c r="D34" s="56">
        <f>SUMIFS(INDEX(Raw_BRSR_Data!$E$2:$H$118,0,D$9),Raw_BRSR_Data!$C$2:$C$118,$H34)</f>
        <v>0</v>
      </c>
      <c r="E34" s="56">
        <f>SUMIFS(INDEX(Raw_BRSR_Data!$E$2:$H$118,0,E$9),Raw_BRSR_Data!$C$2:$C$118,$H34)</f>
        <v>0</v>
      </c>
      <c r="F34" s="56">
        <f>SUMIFS(INDEX(Raw_BRSR_Data!$E$2:$H$118,0,F$9),Raw_BRSR_Data!$C$2:$C$118,$H34)</f>
        <v>0</v>
      </c>
      <c r="G34" s="48">
        <f t="shared" ref="G34:G42" si="2">INDEX(C34:F34,$B$3)</f>
        <v>0</v>
      </c>
      <c r="H34" s="47" t="s">
        <v>28</v>
      </c>
      <c r="K34"/>
    </row>
    <row r="35" spans="1:14" x14ac:dyDescent="0.3">
      <c r="A35" s="47" t="s">
        <v>30</v>
      </c>
      <c r="B35" s="76" t="s">
        <v>29</v>
      </c>
      <c r="C35" s="56">
        <f>SUMIFS(INDEX(Raw_BRSR_Data!$E$2:$H$118,0,C$9),Raw_BRSR_Data!$C$2:$C$118,$H35)</f>
        <v>336755</v>
      </c>
      <c r="D35" s="56">
        <f>SUMIFS(INDEX(Raw_BRSR_Data!$E$2:$H$118,0,D$9),Raw_BRSR_Data!$C$2:$C$118,$H35)</f>
        <v>336136</v>
      </c>
      <c r="E35" s="56">
        <f>SUMIFS(INDEX(Raw_BRSR_Data!$E$2:$H$118,0,E$9),Raw_BRSR_Data!$C$2:$C$118,$H35)</f>
        <v>341690</v>
      </c>
      <c r="F35" s="56">
        <f>SUMIFS(INDEX(Raw_BRSR_Data!$E$2:$H$118,0,F$9),Raw_BRSR_Data!$C$2:$C$118,$H35)</f>
        <v>239306</v>
      </c>
      <c r="G35" s="48">
        <f t="shared" si="2"/>
        <v>341690</v>
      </c>
      <c r="H35" s="47" t="s">
        <v>30</v>
      </c>
      <c r="K35"/>
    </row>
    <row r="36" spans="1:14" x14ac:dyDescent="0.3">
      <c r="A36" s="47" t="s">
        <v>31</v>
      </c>
      <c r="B36" s="76" t="s">
        <v>29</v>
      </c>
      <c r="C36" s="56">
        <f>SUMIFS(INDEX(Raw_BRSR_Data!$E$2:$H$118,0,C$9),Raw_BRSR_Data!$C$2:$C$118,$H36)</f>
        <v>158665</v>
      </c>
      <c r="D36" s="56">
        <f>SUMIFS(INDEX(Raw_BRSR_Data!$E$2:$H$118,0,D$9),Raw_BRSR_Data!$C$2:$C$118,$H36)</f>
        <v>137797</v>
      </c>
      <c r="E36" s="56">
        <f>SUMIFS(INDEX(Raw_BRSR_Data!$E$2:$H$118,0,E$9),Raw_BRSR_Data!$C$2:$C$118,$H36)</f>
        <v>135229</v>
      </c>
      <c r="F36" s="56">
        <f>SUMIFS(INDEX(Raw_BRSR_Data!$E$2:$H$118,0,F$9),Raw_BRSR_Data!$C$2:$C$118,$H36)</f>
        <v>314779</v>
      </c>
      <c r="G36" s="48">
        <f t="shared" si="2"/>
        <v>135229</v>
      </c>
      <c r="H36" s="47" t="s">
        <v>31</v>
      </c>
      <c r="K36"/>
    </row>
    <row r="37" spans="1:14" x14ac:dyDescent="0.3">
      <c r="A37" s="47" t="s">
        <v>32</v>
      </c>
      <c r="B37" s="76" t="s">
        <v>29</v>
      </c>
      <c r="C37" s="56">
        <f>SUMIFS(INDEX(Raw_BRSR_Data!$E$2:$H$118,0,C$9),Raw_BRSR_Data!$C$2:$C$118,$H37)</f>
        <v>0</v>
      </c>
      <c r="D37" s="56">
        <f>SUMIFS(INDEX(Raw_BRSR_Data!$E$2:$H$118,0,D$9),Raw_BRSR_Data!$C$2:$C$118,$H37)</f>
        <v>0</v>
      </c>
      <c r="E37" s="56">
        <f>SUMIFS(INDEX(Raw_BRSR_Data!$E$2:$H$118,0,E$9),Raw_BRSR_Data!$C$2:$C$118,$H37)</f>
        <v>0</v>
      </c>
      <c r="F37" s="56">
        <f>SUMIFS(INDEX(Raw_BRSR_Data!$E$2:$H$118,0,F$9),Raw_BRSR_Data!$C$2:$C$118,$H37)</f>
        <v>0</v>
      </c>
      <c r="G37" s="48">
        <f t="shared" si="2"/>
        <v>0</v>
      </c>
      <c r="H37" s="47" t="s">
        <v>32</v>
      </c>
      <c r="K37"/>
    </row>
    <row r="38" spans="1:14" x14ac:dyDescent="0.3">
      <c r="A38" s="47" t="s">
        <v>34</v>
      </c>
      <c r="B38" s="76" t="s">
        <v>29</v>
      </c>
      <c r="C38" s="56">
        <f>SUMIFS(INDEX(Raw_BRSR_Data!$E$2:$H$118,0,C$9),Raw_BRSR_Data!$C$2:$C$118,$H38)</f>
        <v>1934946</v>
      </c>
      <c r="D38" s="56">
        <f>SUMIFS(INDEX(Raw_BRSR_Data!$E$2:$H$118,0,D$9),Raw_BRSR_Data!$C$2:$C$118,$H38)</f>
        <v>2053390</v>
      </c>
      <c r="E38" s="56">
        <f>SUMIFS(INDEX(Raw_BRSR_Data!$E$2:$H$118,0,E$9),Raw_BRSR_Data!$C$2:$C$118,$H38)</f>
        <v>26689</v>
      </c>
      <c r="F38" s="56">
        <f>SUMIFS(INDEX(Raw_BRSR_Data!$E$2:$H$118,0,F$9),Raw_BRSR_Data!$C$2:$C$118,$H38)</f>
        <v>38323</v>
      </c>
      <c r="G38" s="48">
        <f t="shared" si="2"/>
        <v>26689</v>
      </c>
      <c r="H38" s="47" t="s">
        <v>34</v>
      </c>
      <c r="K38"/>
    </row>
    <row r="39" spans="1:14" x14ac:dyDescent="0.3">
      <c r="A39" s="47" t="s">
        <v>195</v>
      </c>
      <c r="B39" s="76" t="s">
        <v>29</v>
      </c>
      <c r="C39" s="56">
        <f>SUM(C34:C38)</f>
        <v>2430366</v>
      </c>
      <c r="D39" s="56">
        <f>SUM(D34:D38)</f>
        <v>2527323</v>
      </c>
      <c r="E39" s="56">
        <f>SUM(E34:E38)</f>
        <v>503608</v>
      </c>
      <c r="F39" s="56">
        <f>SUM(F34:F38)</f>
        <v>592408</v>
      </c>
      <c r="G39" s="48">
        <f t="shared" si="2"/>
        <v>503608</v>
      </c>
      <c r="H39" s="72"/>
      <c r="K39"/>
    </row>
    <row r="40" spans="1:14" x14ac:dyDescent="0.3">
      <c r="A40" s="47" t="s">
        <v>196</v>
      </c>
      <c r="B40" s="76" t="s">
        <v>175</v>
      </c>
      <c r="C40" s="77">
        <f>IFERROR(C35/C39,0)</f>
        <v>0.13856143477978214</v>
      </c>
      <c r="D40" s="77">
        <f>IFERROR(D35/D39,0)</f>
        <v>0.13300080757386373</v>
      </c>
      <c r="E40" s="77">
        <f>IFERROR(E35/E39,0)</f>
        <v>0.67848405903003928</v>
      </c>
      <c r="F40" s="77">
        <f>IFERROR(F35/F39,0)</f>
        <v>0.40395470689119661</v>
      </c>
      <c r="G40" s="49">
        <f t="shared" si="2"/>
        <v>0.67848405903003928</v>
      </c>
      <c r="H40" s="72"/>
      <c r="K40"/>
      <c r="L40"/>
      <c r="M40"/>
      <c r="N40"/>
    </row>
    <row r="41" spans="1:14" x14ac:dyDescent="0.3">
      <c r="A41" s="47" t="s">
        <v>197</v>
      </c>
      <c r="B41" s="76" t="s">
        <v>103</v>
      </c>
      <c r="C41" s="56">
        <f>SUMIFS(INDEX(Raw_BRSR_Data!$E$2:$H$118,0,C$9),Raw_BRSR_Data!$C$2:$C$118,$H41)+SUMIFS(INDEX(Raw_BRSR_Data!$E$2:$H$118,0,C$9),Raw_BRSR_Data!$C$2:$C$118,$I41)</f>
        <v>0</v>
      </c>
      <c r="D41" s="56">
        <f>SUMIFS(INDEX(Raw_BRSR_Data!$E$2:$H$118,0,D$9),Raw_BRSR_Data!$C$2:$C$118,$H41)+SUMIFS(INDEX(Raw_BRSR_Data!$E$2:$H$118,0,D$9),Raw_BRSR_Data!$C$2:$C$118,$I41)</f>
        <v>1129</v>
      </c>
      <c r="E41" s="56">
        <f>SUMIFS(INDEX(Raw_BRSR_Data!$E$2:$H$118,0,E$9),Raw_BRSR_Data!$C$2:$C$118,$H41)+SUMIFS(INDEX(Raw_BRSR_Data!$E$2:$H$118,0,E$9),Raw_BRSR_Data!$C$2:$C$118,$I41)</f>
        <v>0</v>
      </c>
      <c r="F41" s="56">
        <f>SUMIFS(INDEX(Raw_BRSR_Data!$E$2:$H$118,0,F$9),Raw_BRSR_Data!$C$2:$C$118,$H41)+SUMIFS(INDEX(Raw_BRSR_Data!$E$2:$H$118,0,F$9),Raw_BRSR_Data!$C$2:$C$118,$I41)</f>
        <v>36300</v>
      </c>
      <c r="G41" s="48">
        <f t="shared" si="2"/>
        <v>0</v>
      </c>
      <c r="H41" s="47" t="s">
        <v>106</v>
      </c>
      <c r="K41"/>
      <c r="L41"/>
      <c r="M41"/>
      <c r="N41"/>
    </row>
    <row r="42" spans="1:14" x14ac:dyDescent="0.3">
      <c r="A42" s="47" t="s">
        <v>198</v>
      </c>
      <c r="B42" s="76" t="s">
        <v>175</v>
      </c>
      <c r="C42" s="77">
        <f>IFERROR(C41/C39,0)</f>
        <v>0</v>
      </c>
      <c r="D42" s="77">
        <f>IFERROR(D41/D39,0)</f>
        <v>4.4671773255733436E-4</v>
      </c>
      <c r="E42" s="77">
        <f>IFERROR(E41/E39,0)</f>
        <v>0</v>
      </c>
      <c r="F42" s="77">
        <f>IFERROR(F41/F39,0)</f>
        <v>6.1275337267558842E-2</v>
      </c>
      <c r="G42" s="49">
        <f t="shared" si="2"/>
        <v>0</v>
      </c>
      <c r="H42" s="72"/>
      <c r="K42"/>
      <c r="L42"/>
      <c r="M42"/>
      <c r="N42"/>
    </row>
    <row r="43" spans="1:14" x14ac:dyDescent="0.3">
      <c r="K43"/>
      <c r="L43"/>
      <c r="M43"/>
      <c r="N43"/>
    </row>
    <row r="44" spans="1:14" x14ac:dyDescent="0.3">
      <c r="K44"/>
      <c r="L44"/>
      <c r="M44"/>
      <c r="N44"/>
    </row>
    <row r="45" spans="1:14" s="88" customFormat="1" ht="24" customHeight="1" x14ac:dyDescent="0.3">
      <c r="A45" s="87" t="s">
        <v>199</v>
      </c>
      <c r="B45" s="86" t="s">
        <v>13</v>
      </c>
      <c r="C45" s="86" t="str">
        <f>$A$5</f>
        <v>FY 2022-23</v>
      </c>
      <c r="D45" s="86" t="str">
        <f>$A$6</f>
        <v>FY 2023-24</v>
      </c>
      <c r="E45" s="86" t="str">
        <f>$A$7</f>
        <v>FY 2024-25</v>
      </c>
      <c r="F45" s="86" t="str">
        <f>$A$8</f>
        <v>FY 2025-26</v>
      </c>
      <c r="G45" s="86" t="str">
        <f>"Selected: "&amp;$B$2</f>
        <v>Selected: FY 2024-25</v>
      </c>
      <c r="H45" s="87" t="s">
        <v>169</v>
      </c>
      <c r="K45"/>
      <c r="L45"/>
      <c r="M45"/>
      <c r="N45"/>
    </row>
    <row r="46" spans="1:14" x14ac:dyDescent="0.3">
      <c r="A46" s="47" t="s">
        <v>67</v>
      </c>
      <c r="B46" s="76" t="s">
        <v>123</v>
      </c>
      <c r="C46" s="82">
        <f>SUM(INDEX(Raw_BRSR_Data!$E$26:$H$33,0,C$9))</f>
        <v>5136</v>
      </c>
      <c r="D46" s="82">
        <f>SUM(INDEX(Raw_BRSR_Data!$E$26:$H$33,0,D$9))</f>
        <v>3897.52</v>
      </c>
      <c r="E46" s="82">
        <f>SUM(INDEX(Raw_BRSR_Data!$E$26:$H$33,0,E$9))</f>
        <v>7491.73</v>
      </c>
      <c r="F46" s="82">
        <f>SUM(INDEX(Raw_BRSR_Data!$E$26:$H$33,0,F$9))</f>
        <v>6310.15</v>
      </c>
      <c r="G46" s="54">
        <f>INDEX(C46:F46,$B$3)</f>
        <v>7491.73</v>
      </c>
      <c r="H46" s="47" t="s">
        <v>200</v>
      </c>
      <c r="K46"/>
      <c r="L46"/>
      <c r="M46"/>
      <c r="N46"/>
    </row>
    <row r="47" spans="1:14" x14ac:dyDescent="0.3">
      <c r="A47" s="47" t="s">
        <v>201</v>
      </c>
      <c r="B47" s="76" t="s">
        <v>123</v>
      </c>
      <c r="C47" s="82">
        <f>SUMIFS(INDEX(Raw_BRSR_Data!$E$2:$H$118,0,C$9),Raw_BRSR_Data!$C$2:$C$118,$H47)</f>
        <v>4223</v>
      </c>
      <c r="D47" s="82">
        <f>SUMIFS(INDEX(Raw_BRSR_Data!$E$2:$H$118,0,D$9),Raw_BRSR_Data!$C$2:$C$118,$H47)</f>
        <v>3482</v>
      </c>
      <c r="E47" s="82">
        <f>SUMIFS(INDEX(Raw_BRSR_Data!$E$2:$H$118,0,E$9),Raw_BRSR_Data!$C$2:$C$118,$H47)</f>
        <v>5395</v>
      </c>
      <c r="F47" s="82">
        <f>SUMIFS(INDEX(Raw_BRSR_Data!$E$2:$H$118,0,F$9),Raw_BRSR_Data!$C$2:$C$118,$H47)</f>
        <v>6189</v>
      </c>
      <c r="G47" s="54">
        <f>INDEX(C47:F47,$B$3)</f>
        <v>5395</v>
      </c>
      <c r="H47" s="47" t="s">
        <v>68</v>
      </c>
      <c r="K47"/>
      <c r="L47"/>
      <c r="M47"/>
      <c r="N47"/>
    </row>
    <row r="48" spans="1:14" x14ac:dyDescent="0.3">
      <c r="A48" s="47" t="s">
        <v>69</v>
      </c>
      <c r="B48" s="76" t="s">
        <v>123</v>
      </c>
      <c r="C48" s="82">
        <f>SUMIFS(INDEX(Raw_BRSR_Data!$E$2:$H$118,0,C$9),Raw_BRSR_Data!$C$2:$C$118,$H48)</f>
        <v>97</v>
      </c>
      <c r="D48" s="82">
        <f>SUMIFS(INDEX(Raw_BRSR_Data!$E$2:$H$118,0,D$9),Raw_BRSR_Data!$C$2:$C$118,$H48)</f>
        <v>5.33</v>
      </c>
      <c r="E48" s="82">
        <f>SUMIFS(INDEX(Raw_BRSR_Data!$E$2:$H$118,0,E$9),Raw_BRSR_Data!$C$2:$C$118,$H48)</f>
        <v>69.2</v>
      </c>
      <c r="F48" s="82">
        <f>SUMIFS(INDEX(Raw_BRSR_Data!$E$2:$H$118,0,F$9),Raw_BRSR_Data!$C$2:$C$118,$H48)</f>
        <v>4.54</v>
      </c>
      <c r="G48" s="54">
        <f>INDEX(C48:F48,$B$3)</f>
        <v>69.2</v>
      </c>
      <c r="H48" s="47" t="s">
        <v>69</v>
      </c>
      <c r="K48"/>
      <c r="L48"/>
      <c r="M48"/>
      <c r="N48"/>
    </row>
    <row r="49" spans="1:14" x14ac:dyDescent="0.3">
      <c r="A49" s="47" t="s">
        <v>202</v>
      </c>
      <c r="B49" s="76" t="s">
        <v>123</v>
      </c>
      <c r="C49" s="82">
        <f>C46-C47-C48</f>
        <v>816</v>
      </c>
      <c r="D49" s="82">
        <f>D46-D47-D48</f>
        <v>410.19</v>
      </c>
      <c r="E49" s="82">
        <f>E46-E47-E48</f>
        <v>2027.5299999999995</v>
      </c>
      <c r="F49" s="82">
        <f>F46-F47-F48</f>
        <v>116.60999999999963</v>
      </c>
      <c r="G49" s="54">
        <f>INDEX(C49:F49,$B$3)</f>
        <v>2027.5299999999995</v>
      </c>
      <c r="H49" s="47" t="s">
        <v>203</v>
      </c>
      <c r="K49"/>
      <c r="L49"/>
      <c r="M49"/>
      <c r="N49"/>
    </row>
    <row r="50" spans="1:14" x14ac:dyDescent="0.3">
      <c r="A50" s="47" t="s">
        <v>204</v>
      </c>
      <c r="B50" s="76" t="s">
        <v>175</v>
      </c>
      <c r="C50" s="83">
        <f>IFERROR(C47/C46,0)</f>
        <v>0.82223520249221183</v>
      </c>
      <c r="D50" s="83">
        <f>IFERROR(D47/D46,0)</f>
        <v>0.89338861635091038</v>
      </c>
      <c r="E50" s="83">
        <f>IFERROR(E47/E46,0)</f>
        <v>0.72012739380623703</v>
      </c>
      <c r="F50" s="83">
        <f>IFERROR(F47/F46,0)</f>
        <v>0.98080077335721028</v>
      </c>
      <c r="G50" s="55">
        <f>INDEX(C50:F50,$B$3)</f>
        <v>0.72012739380623703</v>
      </c>
      <c r="H50" s="72"/>
      <c r="K50"/>
      <c r="L50"/>
      <c r="M50"/>
      <c r="N50"/>
    </row>
    <row r="51" spans="1:14" x14ac:dyDescent="0.3">
      <c r="K51"/>
      <c r="L51"/>
      <c r="M51"/>
      <c r="N51"/>
    </row>
    <row r="52" spans="1:14" x14ac:dyDescent="0.3">
      <c r="K52"/>
      <c r="L52"/>
      <c r="M52"/>
      <c r="N52"/>
    </row>
    <row r="53" spans="1:14" s="88" customFormat="1" ht="24" customHeight="1" x14ac:dyDescent="0.3">
      <c r="A53" s="87" t="s">
        <v>205</v>
      </c>
      <c r="B53" s="86"/>
      <c r="C53" s="86" t="s">
        <v>206</v>
      </c>
      <c r="D53" s="86" t="s">
        <v>207</v>
      </c>
      <c r="E53" s="86"/>
      <c r="F53" s="86"/>
      <c r="G53" s="86"/>
      <c r="H53" s="87"/>
      <c r="K53"/>
      <c r="L53"/>
      <c r="M53"/>
      <c r="N53"/>
    </row>
    <row r="54" spans="1:14" x14ac:dyDescent="0.3">
      <c r="A54" s="47" t="s">
        <v>208</v>
      </c>
      <c r="B54" s="76" t="s">
        <v>81</v>
      </c>
      <c r="C54" s="56">
        <f>COUNTIFS(Initiatives_Tracker!$B$3:$B$30,"Energy")</f>
        <v>21</v>
      </c>
      <c r="D54" s="56">
        <f>SUMIFS(Initiatives_Tracker!$E$3:$E$30,Initiatives_Tracker!$B$3:$B$30,"Energy")</f>
        <v>3785076</v>
      </c>
      <c r="K54"/>
      <c r="L54"/>
      <c r="M54"/>
      <c r="N54"/>
    </row>
    <row r="55" spans="1:14" x14ac:dyDescent="0.3">
      <c r="A55" s="47" t="s">
        <v>209</v>
      </c>
      <c r="B55" s="76" t="s">
        <v>103</v>
      </c>
      <c r="C55" s="56">
        <f>COUNTIFS(Initiatives_Tracker!$B$3:$B$30,"Water")</f>
        <v>5</v>
      </c>
      <c r="D55" s="56">
        <f>SUMIFS(Initiatives_Tracker!$E$3:$E$30,Initiatives_Tracker!$B$3:$B$30,"Water")</f>
        <v>36300</v>
      </c>
      <c r="K55"/>
      <c r="L55"/>
      <c r="M55"/>
      <c r="N55"/>
    </row>
    <row r="56" spans="1:14" x14ac:dyDescent="0.3">
      <c r="A56" s="47" t="s">
        <v>210</v>
      </c>
      <c r="B56" s="76" t="s">
        <v>211</v>
      </c>
      <c r="C56" s="56">
        <f>COUNTIFS(Initiatives_Tracker!$B$3:$B$30,"Fuel")</f>
        <v>2</v>
      </c>
      <c r="D56" s="56">
        <f>SUMIFS(Initiatives_Tracker!$E$3:$E$30,Initiatives_Tracker!$B$3:$B$30,"Fuel")</f>
        <v>14103</v>
      </c>
      <c r="K56"/>
      <c r="L56"/>
      <c r="M56"/>
      <c r="N56"/>
    </row>
    <row r="57" spans="1:14" x14ac:dyDescent="0.3">
      <c r="A57" s="57" t="s">
        <v>212</v>
      </c>
      <c r="C57" s="58">
        <f>SUM(C54:C56)</f>
        <v>28</v>
      </c>
      <c r="K57"/>
      <c r="L57"/>
      <c r="M57"/>
      <c r="N57"/>
    </row>
    <row r="58" spans="1:14" x14ac:dyDescent="0.3">
      <c r="K58"/>
      <c r="L58"/>
      <c r="M58"/>
      <c r="N58"/>
    </row>
    <row r="59" spans="1:14" x14ac:dyDescent="0.3">
      <c r="K59"/>
      <c r="L59"/>
      <c r="M59"/>
      <c r="N59"/>
    </row>
    <row r="60" spans="1:14" s="88" customFormat="1" ht="24" customHeight="1" x14ac:dyDescent="0.3">
      <c r="A60" s="87" t="s">
        <v>213</v>
      </c>
      <c r="B60" s="86" t="s">
        <v>214</v>
      </c>
      <c r="C60" s="86" t="str">
        <f>$A$5</f>
        <v>FY 2022-23</v>
      </c>
      <c r="D60" s="86" t="str">
        <f>$A$6</f>
        <v>FY 2023-24</v>
      </c>
      <c r="E60" s="86" t="str">
        <f>$A$7</f>
        <v>FY 2024-25</v>
      </c>
      <c r="F60" s="86" t="str">
        <f>$A$8</f>
        <v>FY 2025-26</v>
      </c>
      <c r="G60" s="86" t="s">
        <v>215</v>
      </c>
      <c r="H60" s="87" t="s">
        <v>216</v>
      </c>
      <c r="K60"/>
      <c r="L60"/>
      <c r="M60"/>
      <c r="N60"/>
    </row>
    <row r="61" spans="1:14" ht="31.2" x14ac:dyDescent="0.3">
      <c r="A61" s="47" t="s">
        <v>217</v>
      </c>
      <c r="B61" s="84">
        <v>0.5</v>
      </c>
      <c r="C61" s="84">
        <f>C13-SUMIFS(INDEX(Raw_BRSR_Data!$E$2:$H$118,0,C$9),Raw_BRSR_Data!$C$2:$C$118,"Total Energy Consumed (Grand Total)")</f>
        <v>0</v>
      </c>
      <c r="D61" s="84">
        <f>D13-SUMIFS(INDEX(Raw_BRSR_Data!$E$2:$H$118,0,D$9),Raw_BRSR_Data!$C$2:$C$118,"Total Energy Consumed (Grand Total)")</f>
        <v>0</v>
      </c>
      <c r="E61" s="84">
        <f>E13-SUMIFS(INDEX(Raw_BRSR_Data!$E$2:$H$118,0,E$9),Raw_BRSR_Data!$C$2:$C$118,"Total Energy Consumed (Grand Total)")</f>
        <v>0</v>
      </c>
      <c r="F61" s="84">
        <f>F13-SUMIFS(INDEX(Raw_BRSR_Data!$E$2:$H$118,0,F$9),Raw_BRSR_Data!$C$2:$C$118,"Total Energy Consumed (Grand Total)")</f>
        <v>0</v>
      </c>
      <c r="G61" s="59" t="str">
        <f t="shared" ref="G61:G66" si="3">IF(SUMPRODUCT(ABS(C61:F61))&lt;=B61,"PASS","CHECK")</f>
        <v>PASS</v>
      </c>
      <c r="H61" s="47" t="s">
        <v>218</v>
      </c>
      <c r="K61"/>
      <c r="L61"/>
      <c r="M61"/>
      <c r="N61"/>
    </row>
    <row r="62" spans="1:14" x14ac:dyDescent="0.3">
      <c r="A62" s="47" t="s">
        <v>219</v>
      </c>
      <c r="B62" s="84">
        <v>0.5</v>
      </c>
      <c r="C62" s="84">
        <f>C39-SUMIFS(INDEX(Raw_BRSR_Data!$E$2:$H$118,0,C$9),Raw_BRSR_Data!$C$2:$C$118,"Total Water Consumption (Grand Total)")</f>
        <v>0</v>
      </c>
      <c r="D62" s="84">
        <f>D39-SUMIFS(INDEX(Raw_BRSR_Data!$E$2:$H$118,0,D$9),Raw_BRSR_Data!$C$2:$C$118,"Total Water Consumption (Grand Total)")</f>
        <v>0</v>
      </c>
      <c r="E62" s="84">
        <f>E39-SUMIFS(INDEX(Raw_BRSR_Data!$E$2:$H$118,0,E$9),Raw_BRSR_Data!$C$2:$C$118,"Total Water Consumption (Grand Total)")</f>
        <v>0</v>
      </c>
      <c r="F62" s="84">
        <f>F39-SUMIFS(INDEX(Raw_BRSR_Data!$E$2:$H$118,0,F$9),Raw_BRSR_Data!$C$2:$C$118,"Total Water Consumption (Grand Total)")</f>
        <v>0</v>
      </c>
      <c r="G62" s="59" t="str">
        <f t="shared" si="3"/>
        <v>PASS</v>
      </c>
      <c r="H62" s="47" t="s">
        <v>220</v>
      </c>
      <c r="K62"/>
      <c r="L62"/>
      <c r="M62"/>
      <c r="N62"/>
    </row>
    <row r="63" spans="1:14" x14ac:dyDescent="0.3">
      <c r="A63" s="47" t="s">
        <v>221</v>
      </c>
      <c r="B63" s="84">
        <v>0.5</v>
      </c>
      <c r="C63" s="84">
        <f>C23-SUMIFS(INDEX(Raw_BRSR_Data!$E$2:$H$118,0,C$9),Raw_BRSR_Data!$C$2:$C$118,"Total Scope 1 + Scope 2 Emissions (Sum)")</f>
        <v>0</v>
      </c>
      <c r="D63" s="84">
        <f>D23-SUMIFS(INDEX(Raw_BRSR_Data!$E$2:$H$118,0,D$9),Raw_BRSR_Data!$C$2:$C$118,"Total Scope 1 + Scope 2 Emissions (Sum)")</f>
        <v>0</v>
      </c>
      <c r="E63" s="84">
        <f>E23-SUMIFS(INDEX(Raw_BRSR_Data!$E$2:$H$118,0,E$9),Raw_BRSR_Data!$C$2:$C$118,"Total Scope 1 + Scope 2 Emissions (Sum)")</f>
        <v>0</v>
      </c>
      <c r="F63" s="84">
        <f>F23-SUMIFS(INDEX(Raw_BRSR_Data!$E$2:$H$118,0,F$9),Raw_BRSR_Data!$C$2:$C$118,"Total Scope 1 + Scope 2 Emissions (Sum)")</f>
        <v>0</v>
      </c>
      <c r="G63" s="59" t="str">
        <f t="shared" si="3"/>
        <v>PASS</v>
      </c>
      <c r="H63" s="47" t="s">
        <v>222</v>
      </c>
      <c r="K63"/>
      <c r="L63"/>
      <c r="M63"/>
      <c r="N63"/>
    </row>
    <row r="64" spans="1:14" x14ac:dyDescent="0.3">
      <c r="A64" s="47" t="s">
        <v>223</v>
      </c>
      <c r="B64" s="84">
        <v>0.5</v>
      </c>
      <c r="C64" s="84">
        <f>C46-SUMIFS(INDEX(Raw_BRSR_Data!$E$2:$H$118,0,C$9),Raw_BRSR_Data!$C$2:$C$118,"Total Waste Generated")</f>
        <v>0</v>
      </c>
      <c r="D64" s="84">
        <f>D46-SUMIFS(INDEX(Raw_BRSR_Data!$E$2:$H$118,0,D$9),Raw_BRSR_Data!$C$2:$C$118,"Total Waste Generated")</f>
        <v>0</v>
      </c>
      <c r="E64" s="84">
        <f>E46-SUMIFS(INDEX(Raw_BRSR_Data!$E$2:$H$118,0,E$9),Raw_BRSR_Data!$C$2:$C$118,"Total Waste Generated")</f>
        <v>0</v>
      </c>
      <c r="F64" s="84">
        <f>F46-SUMIFS(INDEX(Raw_BRSR_Data!$E$2:$H$118,0,F$9),Raw_BRSR_Data!$C$2:$C$118,"Total Waste Generated")</f>
        <v>0</v>
      </c>
      <c r="G64" s="59" t="str">
        <f t="shared" si="3"/>
        <v>PASS</v>
      </c>
      <c r="H64" s="47" t="s">
        <v>224</v>
      </c>
      <c r="K64"/>
      <c r="L64"/>
      <c r="M64"/>
      <c r="N64"/>
    </row>
    <row r="65" spans="1:14" x14ac:dyDescent="0.3">
      <c r="A65" s="47" t="s">
        <v>225</v>
      </c>
      <c r="B65" s="84">
        <v>0.5</v>
      </c>
      <c r="C65" s="84">
        <f>MAX(0,C47+C48-C46)</f>
        <v>0</v>
      </c>
      <c r="D65" s="84">
        <f>MAX(0,D47+D48-D46)</f>
        <v>0</v>
      </c>
      <c r="E65" s="84">
        <f>MAX(0,E47+E48-E46)</f>
        <v>0</v>
      </c>
      <c r="F65" s="84">
        <f>MAX(0,F47+F48-F46)</f>
        <v>0</v>
      </c>
      <c r="G65" s="59" t="str">
        <f t="shared" si="3"/>
        <v>PASS</v>
      </c>
      <c r="H65" s="47" t="s">
        <v>226</v>
      </c>
      <c r="K65"/>
      <c r="L65"/>
      <c r="M65"/>
      <c r="N65"/>
    </row>
    <row r="66" spans="1:14" ht="31.2" x14ac:dyDescent="0.3">
      <c r="A66" s="47" t="s">
        <v>227</v>
      </c>
      <c r="B66" s="84">
        <v>0.5</v>
      </c>
      <c r="C66" s="85"/>
      <c r="D66" s="85"/>
      <c r="E66" s="85"/>
      <c r="F66" s="84">
        <f>SUM(Initiatives_Tracker!$E$34:$E$36)</f>
        <v>0</v>
      </c>
      <c r="G66" s="59" t="str">
        <f t="shared" si="3"/>
        <v>PASS</v>
      </c>
      <c r="H66" s="47" t="s">
        <v>228</v>
      </c>
      <c r="K66"/>
      <c r="L66"/>
      <c r="M66"/>
      <c r="N66"/>
    </row>
    <row r="67" spans="1:14" x14ac:dyDescent="0.3">
      <c r="A67" s="60" t="s">
        <v>229</v>
      </c>
      <c r="G67" s="59" t="str">
        <f>IF(COUNTIF(G61:G66,"CHECK")=0,"ALL PASS","REVIEW")</f>
        <v>ALL PASS</v>
      </c>
      <c r="K67"/>
      <c r="L67"/>
      <c r="M67"/>
      <c r="N67"/>
    </row>
    <row r="68" spans="1:14" x14ac:dyDescent="0.3">
      <c r="K68"/>
      <c r="L68"/>
      <c r="M68"/>
      <c r="N68"/>
    </row>
    <row r="69" spans="1:14" x14ac:dyDescent="0.3">
      <c r="K69"/>
      <c r="L69"/>
      <c r="M69"/>
      <c r="N69"/>
    </row>
    <row r="70" spans="1:14" x14ac:dyDescent="0.3">
      <c r="A70" s="44" t="s">
        <v>230</v>
      </c>
      <c r="K70"/>
      <c r="L70"/>
      <c r="M70"/>
      <c r="N70"/>
    </row>
    <row r="71" spans="1:14" ht="27.75" customHeight="1" x14ac:dyDescent="0.3">
      <c r="A71" s="111" t="s">
        <v>231</v>
      </c>
      <c r="B71" s="111"/>
      <c r="C71" s="111"/>
      <c r="D71" s="111"/>
      <c r="E71" s="111"/>
      <c r="F71" s="111"/>
      <c r="G71" s="111"/>
      <c r="H71" s="111"/>
      <c r="K71"/>
      <c r="L71"/>
      <c r="M71"/>
      <c r="N71"/>
    </row>
    <row r="72" spans="1:14" ht="27.75" customHeight="1" x14ac:dyDescent="0.3">
      <c r="A72" s="111" t="s">
        <v>232</v>
      </c>
      <c r="B72" s="111"/>
      <c r="C72" s="111"/>
      <c r="D72" s="111"/>
      <c r="E72" s="111"/>
      <c r="F72" s="111"/>
      <c r="G72" s="111"/>
      <c r="H72" s="111"/>
      <c r="K72"/>
      <c r="L72"/>
      <c r="M72"/>
      <c r="N72"/>
    </row>
    <row r="73" spans="1:14" ht="27.75" customHeight="1" x14ac:dyDescent="0.3">
      <c r="A73" s="111" t="s">
        <v>233</v>
      </c>
      <c r="B73" s="111"/>
      <c r="C73" s="111"/>
      <c r="D73" s="111"/>
      <c r="E73" s="111"/>
      <c r="F73" s="111"/>
      <c r="G73" s="111"/>
      <c r="H73" s="111"/>
      <c r="K73"/>
      <c r="L73"/>
      <c r="M73"/>
      <c r="N73"/>
    </row>
    <row r="74" spans="1:14" ht="27.75" customHeight="1" x14ac:dyDescent="0.3">
      <c r="A74" s="111" t="s">
        <v>234</v>
      </c>
      <c r="B74" s="111"/>
      <c r="C74" s="111"/>
      <c r="D74" s="111"/>
      <c r="E74" s="111"/>
      <c r="F74" s="111"/>
      <c r="G74" s="111"/>
      <c r="H74" s="111"/>
      <c r="K74"/>
      <c r="L74"/>
      <c r="M74"/>
      <c r="N74"/>
    </row>
    <row r="75" spans="1:14" ht="27.75" customHeight="1" x14ac:dyDescent="0.3">
      <c r="A75" s="111" t="s">
        <v>235</v>
      </c>
      <c r="B75" s="111"/>
      <c r="C75" s="111"/>
      <c r="D75" s="111"/>
      <c r="E75" s="111"/>
      <c r="F75" s="111"/>
      <c r="G75" s="111"/>
      <c r="H75" s="111"/>
      <c r="K75"/>
      <c r="L75"/>
      <c r="M75"/>
      <c r="N75"/>
    </row>
    <row r="76" spans="1:14" ht="27.75" customHeight="1" x14ac:dyDescent="0.3">
      <c r="A76" s="111" t="s">
        <v>236</v>
      </c>
      <c r="B76" s="111"/>
      <c r="C76" s="111"/>
      <c r="D76" s="111"/>
      <c r="E76" s="111"/>
      <c r="F76" s="111"/>
      <c r="G76" s="111"/>
      <c r="H76" s="111"/>
      <c r="K76"/>
      <c r="L76"/>
      <c r="M76"/>
      <c r="N76"/>
    </row>
    <row r="77" spans="1:14" ht="27.75" customHeight="1" x14ac:dyDescent="0.3">
      <c r="A77" s="111" t="s">
        <v>237</v>
      </c>
      <c r="B77" s="111"/>
      <c r="C77" s="111"/>
      <c r="D77" s="111"/>
      <c r="E77" s="111"/>
      <c r="F77" s="111"/>
      <c r="G77" s="111"/>
      <c r="H77" s="111"/>
      <c r="K77"/>
      <c r="L77"/>
      <c r="M77"/>
      <c r="N77"/>
    </row>
    <row r="78" spans="1:14" x14ac:dyDescent="0.3">
      <c r="K78"/>
      <c r="L78"/>
      <c r="M78"/>
      <c r="N78"/>
    </row>
    <row r="79" spans="1:14" x14ac:dyDescent="0.3">
      <c r="K79"/>
      <c r="L79"/>
      <c r="M79"/>
      <c r="N79"/>
    </row>
    <row r="80" spans="1:14" x14ac:dyDescent="0.3">
      <c r="K80"/>
      <c r="L80"/>
      <c r="M80"/>
      <c r="N80"/>
    </row>
    <row r="81" spans="11:14" x14ac:dyDescent="0.3">
      <c r="K81"/>
      <c r="L81"/>
      <c r="M81"/>
      <c r="N81"/>
    </row>
    <row r="82" spans="11:14" x14ac:dyDescent="0.3">
      <c r="K82"/>
      <c r="L82"/>
      <c r="M82"/>
      <c r="N82"/>
    </row>
    <row r="83" spans="11:14" x14ac:dyDescent="0.3">
      <c r="K83"/>
      <c r="L83"/>
      <c r="M83"/>
      <c r="N83"/>
    </row>
    <row r="84" spans="11:14" x14ac:dyDescent="0.3">
      <c r="K84"/>
      <c r="L84"/>
      <c r="M84"/>
      <c r="N84"/>
    </row>
    <row r="85" spans="11:14" x14ac:dyDescent="0.3">
      <c r="K85"/>
      <c r="L85"/>
      <c r="M85"/>
      <c r="N85"/>
    </row>
    <row r="86" spans="11:14" x14ac:dyDescent="0.3">
      <c r="K86"/>
      <c r="L86"/>
      <c r="M86"/>
      <c r="N86"/>
    </row>
    <row r="87" spans="11:14" x14ac:dyDescent="0.3">
      <c r="K87"/>
      <c r="L87"/>
      <c r="M87"/>
      <c r="N87"/>
    </row>
    <row r="88" spans="11:14" x14ac:dyDescent="0.3">
      <c r="K88"/>
      <c r="L88"/>
      <c r="M88"/>
      <c r="N88"/>
    </row>
    <row r="89" spans="11:14" x14ac:dyDescent="0.3">
      <c r="K89"/>
      <c r="L89"/>
      <c r="M89"/>
      <c r="N89"/>
    </row>
    <row r="90" spans="11:14" x14ac:dyDescent="0.3">
      <c r="K90"/>
      <c r="L90"/>
      <c r="M90"/>
      <c r="N90"/>
    </row>
    <row r="91" spans="11:14" x14ac:dyDescent="0.3">
      <c r="K91"/>
      <c r="L91"/>
      <c r="M91"/>
      <c r="N91"/>
    </row>
    <row r="92" spans="11:14" x14ac:dyDescent="0.3">
      <c r="K92"/>
      <c r="L92"/>
      <c r="M92"/>
      <c r="N92"/>
    </row>
    <row r="93" spans="11:14" x14ac:dyDescent="0.3">
      <c r="K93"/>
      <c r="L93"/>
      <c r="M93"/>
      <c r="N93"/>
    </row>
    <row r="94" spans="11:14" x14ac:dyDescent="0.3">
      <c r="K94"/>
      <c r="L94"/>
      <c r="M94"/>
      <c r="N94"/>
    </row>
    <row r="95" spans="11:14" x14ac:dyDescent="0.3">
      <c r="K95"/>
      <c r="L95"/>
      <c r="M95"/>
      <c r="N95"/>
    </row>
    <row r="96" spans="11:14" x14ac:dyDescent="0.3">
      <c r="K96"/>
      <c r="L96"/>
      <c r="M96"/>
      <c r="N96"/>
    </row>
    <row r="97" spans="11:14" x14ac:dyDescent="0.3">
      <c r="K97"/>
      <c r="L97"/>
      <c r="M97"/>
      <c r="N97"/>
    </row>
    <row r="98" spans="11:14" x14ac:dyDescent="0.3">
      <c r="K98"/>
      <c r="L98"/>
      <c r="M98"/>
      <c r="N98"/>
    </row>
    <row r="99" spans="11:14" x14ac:dyDescent="0.3">
      <c r="K99"/>
      <c r="L99"/>
      <c r="M99"/>
      <c r="N99"/>
    </row>
    <row r="100" spans="11:14" x14ac:dyDescent="0.3">
      <c r="K100"/>
      <c r="L100"/>
      <c r="M100"/>
      <c r="N100"/>
    </row>
    <row r="101" spans="11:14" x14ac:dyDescent="0.3">
      <c r="K101"/>
      <c r="L101"/>
      <c r="M101"/>
      <c r="N101"/>
    </row>
    <row r="102" spans="11:14" x14ac:dyDescent="0.3">
      <c r="K102"/>
      <c r="L102"/>
      <c r="M102"/>
      <c r="N102"/>
    </row>
    <row r="103" spans="11:14" x14ac:dyDescent="0.3">
      <c r="K103"/>
      <c r="L103"/>
      <c r="M103"/>
      <c r="N103"/>
    </row>
    <row r="104" spans="11:14" x14ac:dyDescent="0.3">
      <c r="K104"/>
      <c r="L104"/>
      <c r="M104"/>
      <c r="N104"/>
    </row>
    <row r="105" spans="11:14" x14ac:dyDescent="0.3">
      <c r="K105"/>
      <c r="L105"/>
      <c r="M105"/>
      <c r="N105"/>
    </row>
    <row r="106" spans="11:14" x14ac:dyDescent="0.3">
      <c r="K106"/>
      <c r="L106"/>
      <c r="M106"/>
      <c r="N106"/>
    </row>
    <row r="107" spans="11:14" x14ac:dyDescent="0.3">
      <c r="K107"/>
      <c r="L107"/>
      <c r="M107"/>
      <c r="N107"/>
    </row>
    <row r="108" spans="11:14" x14ac:dyDescent="0.3">
      <c r="K108"/>
      <c r="L108"/>
      <c r="M108"/>
      <c r="N108"/>
    </row>
    <row r="109" spans="11:14" x14ac:dyDescent="0.3">
      <c r="K109"/>
      <c r="L109"/>
      <c r="M109"/>
      <c r="N109"/>
    </row>
    <row r="110" spans="11:14" x14ac:dyDescent="0.3">
      <c r="K110"/>
      <c r="L110"/>
      <c r="M110"/>
      <c r="N110"/>
    </row>
    <row r="111" spans="11:14" x14ac:dyDescent="0.3">
      <c r="K111"/>
      <c r="L111"/>
      <c r="M111"/>
      <c r="N111"/>
    </row>
    <row r="112" spans="11:14" x14ac:dyDescent="0.3">
      <c r="K112"/>
      <c r="L112"/>
      <c r="M112"/>
      <c r="N112"/>
    </row>
    <row r="113" spans="11:14" x14ac:dyDescent="0.3">
      <c r="K113"/>
      <c r="L113"/>
      <c r="M113"/>
      <c r="N113"/>
    </row>
    <row r="114" spans="11:14" x14ac:dyDescent="0.3">
      <c r="K114"/>
      <c r="L114"/>
      <c r="M114"/>
      <c r="N114"/>
    </row>
    <row r="115" spans="11:14" x14ac:dyDescent="0.3">
      <c r="K115"/>
      <c r="L115"/>
      <c r="M115"/>
      <c r="N115"/>
    </row>
    <row r="116" spans="11:14" x14ac:dyDescent="0.3">
      <c r="K116"/>
      <c r="L116"/>
      <c r="M116"/>
      <c r="N116"/>
    </row>
    <row r="117" spans="11:14" x14ac:dyDescent="0.3">
      <c r="K117"/>
      <c r="L117"/>
      <c r="M117"/>
      <c r="N117"/>
    </row>
    <row r="118" spans="11:14" x14ac:dyDescent="0.3">
      <c r="K118"/>
      <c r="L118"/>
      <c r="M118"/>
      <c r="N118"/>
    </row>
    <row r="119" spans="11:14" x14ac:dyDescent="0.3">
      <c r="K119"/>
      <c r="L119"/>
      <c r="M119"/>
      <c r="N119"/>
    </row>
    <row r="120" spans="11:14" x14ac:dyDescent="0.3">
      <c r="K120"/>
      <c r="L120"/>
      <c r="M120"/>
      <c r="N120"/>
    </row>
    <row r="121" spans="11:14" x14ac:dyDescent="0.3">
      <c r="K121"/>
      <c r="L121"/>
      <c r="M121"/>
      <c r="N121"/>
    </row>
    <row r="122" spans="11:14" x14ac:dyDescent="0.3">
      <c r="K122"/>
      <c r="L122"/>
      <c r="M122"/>
      <c r="N122"/>
    </row>
    <row r="123" spans="11:14" x14ac:dyDescent="0.3">
      <c r="K123"/>
      <c r="L123"/>
      <c r="M123"/>
      <c r="N123"/>
    </row>
    <row r="124" spans="11:14" x14ac:dyDescent="0.3">
      <c r="K124"/>
      <c r="L124"/>
      <c r="M124"/>
      <c r="N124"/>
    </row>
    <row r="125" spans="11:14" x14ac:dyDescent="0.3">
      <c r="K125"/>
      <c r="L125"/>
      <c r="M125"/>
      <c r="N125"/>
    </row>
    <row r="126" spans="11:14" x14ac:dyDescent="0.3">
      <c r="K126"/>
      <c r="L126"/>
      <c r="M126"/>
      <c r="N126"/>
    </row>
    <row r="127" spans="11:14" x14ac:dyDescent="0.3">
      <c r="K127"/>
      <c r="L127"/>
      <c r="M127"/>
      <c r="N127"/>
    </row>
    <row r="128" spans="11:14" x14ac:dyDescent="0.3">
      <c r="K128"/>
      <c r="L128"/>
      <c r="M128"/>
      <c r="N128"/>
    </row>
    <row r="129" spans="11:14" x14ac:dyDescent="0.3">
      <c r="K129"/>
      <c r="L129"/>
      <c r="M129"/>
      <c r="N129"/>
    </row>
    <row r="130" spans="11:14" x14ac:dyDescent="0.3">
      <c r="K130"/>
      <c r="L130"/>
      <c r="M130"/>
      <c r="N130"/>
    </row>
    <row r="131" spans="11:14" x14ac:dyDescent="0.3">
      <c r="K131"/>
      <c r="L131"/>
      <c r="M131"/>
      <c r="N131"/>
    </row>
    <row r="132" spans="11:14" x14ac:dyDescent="0.3">
      <c r="K132"/>
      <c r="L132"/>
      <c r="M132"/>
      <c r="N132"/>
    </row>
    <row r="133" spans="11:14" x14ac:dyDescent="0.3">
      <c r="K133"/>
      <c r="L133"/>
      <c r="M133"/>
      <c r="N133"/>
    </row>
    <row r="134" spans="11:14" x14ac:dyDescent="0.3">
      <c r="K134"/>
      <c r="L134"/>
      <c r="M134"/>
      <c r="N134"/>
    </row>
    <row r="135" spans="11:14" x14ac:dyDescent="0.3">
      <c r="K135"/>
      <c r="L135"/>
      <c r="M135"/>
      <c r="N135"/>
    </row>
    <row r="136" spans="11:14" x14ac:dyDescent="0.3">
      <c r="K136"/>
      <c r="L136"/>
      <c r="M136"/>
      <c r="N136"/>
    </row>
    <row r="137" spans="11:14" x14ac:dyDescent="0.3">
      <c r="K137"/>
      <c r="L137"/>
      <c r="M137"/>
      <c r="N137"/>
    </row>
    <row r="138" spans="11:14" x14ac:dyDescent="0.3">
      <c r="K138"/>
      <c r="L138"/>
      <c r="M138"/>
      <c r="N138"/>
    </row>
    <row r="139" spans="11:14" x14ac:dyDescent="0.3">
      <c r="K139"/>
      <c r="L139"/>
      <c r="M139"/>
      <c r="N139"/>
    </row>
    <row r="140" spans="11:14" x14ac:dyDescent="0.3">
      <c r="K140"/>
      <c r="L140"/>
      <c r="M140"/>
      <c r="N140"/>
    </row>
    <row r="141" spans="11:14" x14ac:dyDescent="0.3">
      <c r="K141"/>
      <c r="L141"/>
      <c r="M141"/>
      <c r="N141"/>
    </row>
    <row r="142" spans="11:14" x14ac:dyDescent="0.3">
      <c r="K142"/>
      <c r="L142"/>
      <c r="M142"/>
      <c r="N142"/>
    </row>
    <row r="143" spans="11:14" x14ac:dyDescent="0.3">
      <c r="K143"/>
      <c r="L143"/>
      <c r="M143"/>
      <c r="N143"/>
    </row>
    <row r="144" spans="11:14" x14ac:dyDescent="0.3">
      <c r="K144"/>
      <c r="L144"/>
      <c r="M144"/>
      <c r="N144"/>
    </row>
    <row r="145" spans="11:14" x14ac:dyDescent="0.3">
      <c r="K145"/>
      <c r="L145"/>
      <c r="M145"/>
      <c r="N145"/>
    </row>
    <row r="146" spans="11:14" x14ac:dyDescent="0.3">
      <c r="K146"/>
      <c r="L146"/>
      <c r="M146"/>
      <c r="N146"/>
    </row>
    <row r="147" spans="11:14" x14ac:dyDescent="0.3">
      <c r="K147"/>
      <c r="L147"/>
      <c r="M147"/>
      <c r="N147"/>
    </row>
    <row r="148" spans="11:14" x14ac:dyDescent="0.3">
      <c r="K148"/>
      <c r="L148"/>
      <c r="M148"/>
      <c r="N148"/>
    </row>
    <row r="149" spans="11:14" x14ac:dyDescent="0.3">
      <c r="K149"/>
      <c r="L149"/>
      <c r="M149"/>
      <c r="N149"/>
    </row>
    <row r="150" spans="11:14" x14ac:dyDescent="0.3">
      <c r="K150"/>
      <c r="L150"/>
      <c r="M150"/>
      <c r="N150"/>
    </row>
    <row r="151" spans="11:14" x14ac:dyDescent="0.3">
      <c r="K151"/>
      <c r="L151"/>
      <c r="M151"/>
      <c r="N151"/>
    </row>
    <row r="152" spans="11:14" x14ac:dyDescent="0.3">
      <c r="K152"/>
      <c r="L152"/>
      <c r="M152"/>
      <c r="N152"/>
    </row>
    <row r="153" spans="11:14" x14ac:dyDescent="0.3">
      <c r="K153"/>
      <c r="L153"/>
      <c r="M153"/>
      <c r="N153"/>
    </row>
    <row r="154" spans="11:14" x14ac:dyDescent="0.3">
      <c r="K154"/>
      <c r="L154"/>
      <c r="M154"/>
      <c r="N154"/>
    </row>
    <row r="155" spans="11:14" x14ac:dyDescent="0.3">
      <c r="K155"/>
      <c r="L155"/>
      <c r="M155"/>
      <c r="N155"/>
    </row>
    <row r="156" spans="11:14" x14ac:dyDescent="0.3">
      <c r="K156"/>
      <c r="L156"/>
      <c r="M156"/>
      <c r="N156"/>
    </row>
    <row r="157" spans="11:14" x14ac:dyDescent="0.3">
      <c r="K157"/>
      <c r="L157"/>
      <c r="M157"/>
      <c r="N157"/>
    </row>
    <row r="158" spans="11:14" x14ac:dyDescent="0.3">
      <c r="K158"/>
      <c r="L158"/>
      <c r="M158"/>
      <c r="N158"/>
    </row>
    <row r="159" spans="11:14" x14ac:dyDescent="0.3">
      <c r="K159"/>
      <c r="L159"/>
      <c r="M159"/>
      <c r="N159"/>
    </row>
    <row r="160" spans="11:14" x14ac:dyDescent="0.3">
      <c r="K160"/>
      <c r="L160"/>
      <c r="M160"/>
      <c r="N160"/>
    </row>
    <row r="161" spans="11:14" x14ac:dyDescent="0.3">
      <c r="K161"/>
      <c r="L161"/>
      <c r="M161"/>
      <c r="N161"/>
    </row>
    <row r="162" spans="11:14" x14ac:dyDescent="0.3">
      <c r="K162"/>
      <c r="L162"/>
      <c r="M162"/>
      <c r="N162"/>
    </row>
    <row r="163" spans="11:14" x14ac:dyDescent="0.3">
      <c r="K163"/>
      <c r="L163"/>
      <c r="M163"/>
      <c r="N163"/>
    </row>
    <row r="164" spans="11:14" x14ac:dyDescent="0.3">
      <c r="K164"/>
      <c r="L164"/>
      <c r="M164"/>
      <c r="N164"/>
    </row>
    <row r="165" spans="11:14" x14ac:dyDescent="0.3">
      <c r="K165"/>
      <c r="L165"/>
      <c r="M165"/>
      <c r="N165"/>
    </row>
    <row r="166" spans="11:14" x14ac:dyDescent="0.3">
      <c r="K166"/>
      <c r="L166"/>
      <c r="M166"/>
      <c r="N166"/>
    </row>
    <row r="167" spans="11:14" x14ac:dyDescent="0.3">
      <c r="K167"/>
      <c r="L167"/>
      <c r="M167"/>
      <c r="N167"/>
    </row>
    <row r="168" spans="11:14" x14ac:dyDescent="0.3">
      <c r="K168"/>
      <c r="L168"/>
      <c r="M168"/>
      <c r="N168"/>
    </row>
    <row r="169" spans="11:14" x14ac:dyDescent="0.3">
      <c r="K169"/>
      <c r="L169"/>
      <c r="M169"/>
      <c r="N169"/>
    </row>
    <row r="170" spans="11:14" x14ac:dyDescent="0.3">
      <c r="K170"/>
      <c r="L170"/>
      <c r="M170"/>
      <c r="N170"/>
    </row>
    <row r="171" spans="11:14" x14ac:dyDescent="0.3">
      <c r="K171"/>
      <c r="L171"/>
      <c r="M171"/>
      <c r="N171"/>
    </row>
    <row r="172" spans="11:14" x14ac:dyDescent="0.3">
      <c r="K172"/>
      <c r="L172"/>
      <c r="M172"/>
      <c r="N172"/>
    </row>
    <row r="173" spans="11:14" x14ac:dyDescent="0.3">
      <c r="K173"/>
      <c r="L173"/>
      <c r="M173"/>
      <c r="N173"/>
    </row>
    <row r="174" spans="11:14" x14ac:dyDescent="0.3">
      <c r="K174"/>
      <c r="L174"/>
      <c r="M174"/>
      <c r="N174"/>
    </row>
    <row r="175" spans="11:14" x14ac:dyDescent="0.3">
      <c r="K175"/>
      <c r="L175"/>
      <c r="M175"/>
      <c r="N175"/>
    </row>
    <row r="176" spans="11:14" x14ac:dyDescent="0.3">
      <c r="K176"/>
      <c r="L176"/>
      <c r="M176"/>
      <c r="N176"/>
    </row>
    <row r="177" spans="11:14" x14ac:dyDescent="0.3">
      <c r="K177"/>
      <c r="L177"/>
      <c r="M177"/>
      <c r="N177"/>
    </row>
    <row r="178" spans="11:14" x14ac:dyDescent="0.3">
      <c r="K178"/>
      <c r="L178"/>
      <c r="M178"/>
      <c r="N178"/>
    </row>
    <row r="179" spans="11:14" x14ac:dyDescent="0.3">
      <c r="K179"/>
      <c r="L179"/>
      <c r="M179"/>
      <c r="N179"/>
    </row>
    <row r="180" spans="11:14" x14ac:dyDescent="0.3">
      <c r="K180"/>
      <c r="L180"/>
      <c r="M180"/>
      <c r="N180"/>
    </row>
    <row r="181" spans="11:14" x14ac:dyDescent="0.3">
      <c r="K181"/>
      <c r="L181"/>
      <c r="M181"/>
      <c r="N181"/>
    </row>
    <row r="182" spans="11:14" x14ac:dyDescent="0.3">
      <c r="K182"/>
      <c r="L182"/>
      <c r="M182"/>
      <c r="N182"/>
    </row>
    <row r="183" spans="11:14" x14ac:dyDescent="0.3">
      <c r="K183"/>
      <c r="L183"/>
      <c r="M183"/>
      <c r="N183"/>
    </row>
    <row r="184" spans="11:14" x14ac:dyDescent="0.3">
      <c r="K184"/>
      <c r="L184"/>
      <c r="M184"/>
      <c r="N184"/>
    </row>
    <row r="185" spans="11:14" x14ac:dyDescent="0.3">
      <c r="K185"/>
      <c r="L185"/>
      <c r="M185"/>
      <c r="N185"/>
    </row>
    <row r="186" spans="11:14" x14ac:dyDescent="0.3">
      <c r="K186"/>
      <c r="L186"/>
      <c r="M186"/>
      <c r="N186"/>
    </row>
    <row r="187" spans="11:14" x14ac:dyDescent="0.3">
      <c r="K187"/>
      <c r="L187"/>
      <c r="M187"/>
      <c r="N187"/>
    </row>
    <row r="188" spans="11:14" x14ac:dyDescent="0.3">
      <c r="K188"/>
      <c r="L188"/>
      <c r="M188"/>
      <c r="N188"/>
    </row>
    <row r="189" spans="11:14" x14ac:dyDescent="0.3">
      <c r="K189"/>
      <c r="L189"/>
      <c r="M189"/>
      <c r="N189"/>
    </row>
    <row r="190" spans="11:14" x14ac:dyDescent="0.3">
      <c r="K190"/>
      <c r="L190"/>
      <c r="M190"/>
      <c r="N190"/>
    </row>
    <row r="191" spans="11:14" x14ac:dyDescent="0.3">
      <c r="K191"/>
      <c r="L191"/>
      <c r="M191"/>
      <c r="N191"/>
    </row>
    <row r="192" spans="11:14" x14ac:dyDescent="0.3">
      <c r="K192"/>
      <c r="L192"/>
      <c r="M192"/>
      <c r="N192"/>
    </row>
    <row r="193" spans="11:14" x14ac:dyDescent="0.3">
      <c r="K193"/>
      <c r="L193"/>
      <c r="M193"/>
      <c r="N193"/>
    </row>
    <row r="194" spans="11:14" x14ac:dyDescent="0.3">
      <c r="K194"/>
      <c r="L194"/>
      <c r="M194"/>
      <c r="N194"/>
    </row>
    <row r="195" spans="11:14" x14ac:dyDescent="0.3">
      <c r="K195"/>
      <c r="L195"/>
      <c r="M195"/>
      <c r="N195"/>
    </row>
    <row r="196" spans="11:14" x14ac:dyDescent="0.3">
      <c r="K196"/>
      <c r="L196"/>
      <c r="M196"/>
      <c r="N196"/>
    </row>
    <row r="197" spans="11:14" x14ac:dyDescent="0.3">
      <c r="K197"/>
      <c r="L197"/>
      <c r="M197"/>
      <c r="N197"/>
    </row>
    <row r="198" spans="11:14" x14ac:dyDescent="0.3">
      <c r="K198"/>
      <c r="L198"/>
      <c r="M198"/>
      <c r="N198"/>
    </row>
    <row r="199" spans="11:14" x14ac:dyDescent="0.3">
      <c r="K199"/>
      <c r="L199"/>
      <c r="M199"/>
      <c r="N199"/>
    </row>
    <row r="200" spans="11:14" x14ac:dyDescent="0.3">
      <c r="K200"/>
      <c r="L200"/>
      <c r="M200"/>
      <c r="N200"/>
    </row>
    <row r="201" spans="11:14" x14ac:dyDescent="0.3">
      <c r="K201"/>
      <c r="L201"/>
      <c r="M201"/>
      <c r="N201"/>
    </row>
    <row r="202" spans="11:14" x14ac:dyDescent="0.3">
      <c r="K202"/>
      <c r="L202"/>
      <c r="M202"/>
      <c r="N202"/>
    </row>
    <row r="203" spans="11:14" x14ac:dyDescent="0.3">
      <c r="K203"/>
      <c r="L203"/>
      <c r="M203"/>
      <c r="N203"/>
    </row>
    <row r="204" spans="11:14" x14ac:dyDescent="0.3">
      <c r="K204"/>
      <c r="L204"/>
      <c r="M204"/>
      <c r="N204"/>
    </row>
    <row r="205" spans="11:14" x14ac:dyDescent="0.3">
      <c r="K205"/>
      <c r="L205"/>
      <c r="M205"/>
      <c r="N205"/>
    </row>
    <row r="206" spans="11:14" x14ac:dyDescent="0.3">
      <c r="K206"/>
      <c r="L206"/>
      <c r="M206"/>
      <c r="N206"/>
    </row>
    <row r="207" spans="11:14" x14ac:dyDescent="0.3">
      <c r="K207"/>
      <c r="L207"/>
      <c r="M207"/>
      <c r="N207"/>
    </row>
    <row r="208" spans="11:14" x14ac:dyDescent="0.3">
      <c r="K208"/>
      <c r="L208"/>
      <c r="M208"/>
      <c r="N208"/>
    </row>
    <row r="209" spans="11:14" x14ac:dyDescent="0.3">
      <c r="K209"/>
      <c r="L209"/>
      <c r="M209"/>
      <c r="N209"/>
    </row>
    <row r="210" spans="11:14" x14ac:dyDescent="0.3">
      <c r="K210"/>
      <c r="L210"/>
      <c r="M210"/>
      <c r="N210"/>
    </row>
    <row r="211" spans="11:14" x14ac:dyDescent="0.3">
      <c r="K211"/>
      <c r="L211"/>
      <c r="M211"/>
      <c r="N211"/>
    </row>
    <row r="212" spans="11:14" x14ac:dyDescent="0.3">
      <c r="K212"/>
      <c r="L212"/>
      <c r="M212"/>
      <c r="N212"/>
    </row>
    <row r="213" spans="11:14" x14ac:dyDescent="0.3">
      <c r="K213"/>
      <c r="L213"/>
      <c r="M213"/>
      <c r="N213"/>
    </row>
    <row r="214" spans="11:14" x14ac:dyDescent="0.3">
      <c r="K214"/>
      <c r="L214"/>
      <c r="M214"/>
      <c r="N214"/>
    </row>
    <row r="215" spans="11:14" x14ac:dyDescent="0.3">
      <c r="K215"/>
      <c r="L215"/>
      <c r="M215"/>
      <c r="N215"/>
    </row>
    <row r="216" spans="11:14" x14ac:dyDescent="0.3">
      <c r="K216"/>
      <c r="L216"/>
      <c r="M216"/>
      <c r="N216"/>
    </row>
    <row r="217" spans="11:14" x14ac:dyDescent="0.3">
      <c r="K217"/>
      <c r="L217"/>
      <c r="M217"/>
      <c r="N217"/>
    </row>
    <row r="218" spans="11:14" x14ac:dyDescent="0.3">
      <c r="K218"/>
      <c r="L218"/>
      <c r="M218"/>
      <c r="N218"/>
    </row>
    <row r="219" spans="11:14" x14ac:dyDescent="0.3">
      <c r="K219"/>
      <c r="L219"/>
      <c r="M219"/>
      <c r="N219"/>
    </row>
    <row r="220" spans="11:14" x14ac:dyDescent="0.3">
      <c r="K220"/>
      <c r="L220"/>
      <c r="M220"/>
      <c r="N220"/>
    </row>
    <row r="221" spans="11:14" x14ac:dyDescent="0.3">
      <c r="K221"/>
      <c r="L221"/>
      <c r="M221"/>
      <c r="N221"/>
    </row>
    <row r="222" spans="11:14" x14ac:dyDescent="0.3">
      <c r="K222"/>
      <c r="L222"/>
      <c r="M222"/>
      <c r="N222"/>
    </row>
    <row r="223" spans="11:14" x14ac:dyDescent="0.3">
      <c r="K223"/>
      <c r="L223"/>
      <c r="M223"/>
      <c r="N223"/>
    </row>
    <row r="224" spans="11:14" x14ac:dyDescent="0.3">
      <c r="K224"/>
      <c r="L224"/>
      <c r="M224"/>
      <c r="N224"/>
    </row>
    <row r="225" spans="11:14" x14ac:dyDescent="0.3">
      <c r="K225"/>
      <c r="L225"/>
      <c r="M225"/>
      <c r="N225"/>
    </row>
    <row r="226" spans="11:14" x14ac:dyDescent="0.3">
      <c r="K226"/>
      <c r="L226"/>
      <c r="M226"/>
      <c r="N226"/>
    </row>
    <row r="227" spans="11:14" x14ac:dyDescent="0.3">
      <c r="K227"/>
      <c r="L227"/>
      <c r="M227"/>
      <c r="N227"/>
    </row>
    <row r="228" spans="11:14" x14ac:dyDescent="0.3">
      <c r="K228"/>
      <c r="L228"/>
      <c r="M228"/>
      <c r="N228"/>
    </row>
    <row r="229" spans="11:14" x14ac:dyDescent="0.3">
      <c r="K229"/>
      <c r="L229"/>
      <c r="M229"/>
      <c r="N229"/>
    </row>
    <row r="230" spans="11:14" x14ac:dyDescent="0.3">
      <c r="K230"/>
      <c r="L230"/>
      <c r="M230"/>
      <c r="N230"/>
    </row>
    <row r="231" spans="11:14" x14ac:dyDescent="0.3">
      <c r="K231"/>
      <c r="L231"/>
      <c r="M231"/>
      <c r="N231"/>
    </row>
    <row r="232" spans="11:14" x14ac:dyDescent="0.3">
      <c r="K232"/>
      <c r="L232"/>
      <c r="M232"/>
      <c r="N232"/>
    </row>
    <row r="233" spans="11:14" x14ac:dyDescent="0.3">
      <c r="K233"/>
      <c r="L233"/>
      <c r="M233"/>
      <c r="N233"/>
    </row>
    <row r="234" spans="11:14" x14ac:dyDescent="0.3">
      <c r="K234"/>
      <c r="L234"/>
      <c r="M234"/>
      <c r="N234"/>
    </row>
    <row r="235" spans="11:14" x14ac:dyDescent="0.3">
      <c r="K235"/>
      <c r="L235"/>
      <c r="M235"/>
      <c r="N235"/>
    </row>
    <row r="236" spans="11:14" x14ac:dyDescent="0.3">
      <c r="K236"/>
      <c r="L236"/>
      <c r="M236"/>
      <c r="N236"/>
    </row>
    <row r="237" spans="11:14" x14ac:dyDescent="0.3">
      <c r="K237"/>
      <c r="L237"/>
      <c r="M237"/>
      <c r="N237"/>
    </row>
    <row r="238" spans="11:14" x14ac:dyDescent="0.3">
      <c r="K238"/>
      <c r="L238"/>
      <c r="M238"/>
      <c r="N238"/>
    </row>
    <row r="239" spans="11:14" x14ac:dyDescent="0.3">
      <c r="K239"/>
      <c r="L239"/>
      <c r="M239"/>
      <c r="N239"/>
    </row>
    <row r="240" spans="11:14" x14ac:dyDescent="0.3">
      <c r="K240"/>
      <c r="L240"/>
      <c r="M240"/>
      <c r="N240"/>
    </row>
    <row r="241" spans="11:14" x14ac:dyDescent="0.3">
      <c r="K241"/>
      <c r="L241"/>
      <c r="M241"/>
      <c r="N241"/>
    </row>
    <row r="242" spans="11:14" x14ac:dyDescent="0.3">
      <c r="K242"/>
      <c r="L242"/>
      <c r="M242"/>
      <c r="N242"/>
    </row>
    <row r="243" spans="11:14" x14ac:dyDescent="0.3">
      <c r="K243"/>
      <c r="L243"/>
      <c r="M243"/>
      <c r="N243"/>
    </row>
    <row r="244" spans="11:14" x14ac:dyDescent="0.3">
      <c r="K244"/>
      <c r="L244"/>
      <c r="M244"/>
      <c r="N244"/>
    </row>
    <row r="245" spans="11:14" x14ac:dyDescent="0.3">
      <c r="K245"/>
      <c r="L245"/>
      <c r="M245"/>
      <c r="N245"/>
    </row>
    <row r="246" spans="11:14" x14ac:dyDescent="0.3">
      <c r="K246"/>
      <c r="L246"/>
      <c r="M246"/>
      <c r="N246"/>
    </row>
    <row r="247" spans="11:14" x14ac:dyDescent="0.3">
      <c r="K247"/>
      <c r="L247"/>
      <c r="M247"/>
      <c r="N247"/>
    </row>
    <row r="248" spans="11:14" x14ac:dyDescent="0.3">
      <c r="K248"/>
      <c r="L248"/>
      <c r="M248"/>
      <c r="N248"/>
    </row>
    <row r="249" spans="11:14" x14ac:dyDescent="0.3">
      <c r="K249"/>
      <c r="L249"/>
      <c r="M249"/>
      <c r="N249"/>
    </row>
    <row r="250" spans="11:14" x14ac:dyDescent="0.3">
      <c r="K250"/>
      <c r="L250"/>
      <c r="M250"/>
      <c r="N250"/>
    </row>
    <row r="251" spans="11:14" x14ac:dyDescent="0.3">
      <c r="K251"/>
      <c r="L251"/>
      <c r="M251"/>
      <c r="N251"/>
    </row>
    <row r="252" spans="11:14" x14ac:dyDescent="0.3">
      <c r="K252"/>
      <c r="L252"/>
      <c r="M252"/>
      <c r="N252"/>
    </row>
    <row r="253" spans="11:14" x14ac:dyDescent="0.3">
      <c r="K253"/>
      <c r="L253"/>
      <c r="M253"/>
      <c r="N253"/>
    </row>
    <row r="254" spans="11:14" x14ac:dyDescent="0.3">
      <c r="K254"/>
      <c r="L254"/>
      <c r="M254"/>
      <c r="N254"/>
    </row>
    <row r="255" spans="11:14" x14ac:dyDescent="0.3">
      <c r="K255"/>
      <c r="L255"/>
      <c r="M255"/>
      <c r="N255"/>
    </row>
    <row r="256" spans="11:14" x14ac:dyDescent="0.3">
      <c r="K256"/>
      <c r="L256"/>
      <c r="M256"/>
      <c r="N256"/>
    </row>
    <row r="257" spans="11:14" x14ac:dyDescent="0.3">
      <c r="K257"/>
      <c r="L257"/>
      <c r="M257"/>
      <c r="N257"/>
    </row>
    <row r="258" spans="11:14" x14ac:dyDescent="0.3">
      <c r="K258"/>
      <c r="L258"/>
      <c r="M258"/>
      <c r="N258"/>
    </row>
    <row r="259" spans="11:14" x14ac:dyDescent="0.3">
      <c r="K259"/>
      <c r="L259"/>
      <c r="M259"/>
      <c r="N259"/>
    </row>
    <row r="260" spans="11:14" x14ac:dyDescent="0.3">
      <c r="K260"/>
      <c r="L260"/>
      <c r="M260"/>
      <c r="N260"/>
    </row>
    <row r="261" spans="11:14" x14ac:dyDescent="0.3">
      <c r="K261"/>
      <c r="L261"/>
      <c r="M261"/>
      <c r="N261"/>
    </row>
    <row r="262" spans="11:14" x14ac:dyDescent="0.3">
      <c r="K262"/>
      <c r="L262"/>
      <c r="M262"/>
      <c r="N262"/>
    </row>
    <row r="263" spans="11:14" x14ac:dyDescent="0.3">
      <c r="K263"/>
      <c r="L263"/>
      <c r="M263"/>
      <c r="N263"/>
    </row>
    <row r="264" spans="11:14" x14ac:dyDescent="0.3">
      <c r="K264"/>
      <c r="L264"/>
      <c r="M264"/>
      <c r="N264"/>
    </row>
    <row r="265" spans="11:14" x14ac:dyDescent="0.3">
      <c r="K265"/>
      <c r="L265"/>
      <c r="M265"/>
      <c r="N265"/>
    </row>
    <row r="266" spans="11:14" x14ac:dyDescent="0.3">
      <c r="K266"/>
      <c r="L266"/>
      <c r="M266"/>
      <c r="N266"/>
    </row>
    <row r="267" spans="11:14" x14ac:dyDescent="0.3">
      <c r="K267"/>
      <c r="L267"/>
      <c r="M267"/>
      <c r="N267"/>
    </row>
    <row r="268" spans="11:14" x14ac:dyDescent="0.3">
      <c r="K268"/>
      <c r="L268"/>
      <c r="M268"/>
      <c r="N268"/>
    </row>
    <row r="269" spans="11:14" x14ac:dyDescent="0.3">
      <c r="K269"/>
      <c r="L269"/>
      <c r="M269"/>
      <c r="N269"/>
    </row>
    <row r="270" spans="11:14" x14ac:dyDescent="0.3">
      <c r="K270"/>
      <c r="L270"/>
      <c r="M270"/>
      <c r="N270"/>
    </row>
    <row r="271" spans="11:14" x14ac:dyDescent="0.3">
      <c r="K271"/>
      <c r="L271"/>
      <c r="M271"/>
      <c r="N271"/>
    </row>
    <row r="272" spans="11:14" x14ac:dyDescent="0.3">
      <c r="K272"/>
      <c r="L272"/>
      <c r="M272"/>
      <c r="N272"/>
    </row>
    <row r="273" spans="11:14" x14ac:dyDescent="0.3">
      <c r="K273"/>
      <c r="L273"/>
      <c r="M273"/>
      <c r="N273"/>
    </row>
    <row r="274" spans="11:14" x14ac:dyDescent="0.3">
      <c r="K274"/>
      <c r="L274"/>
      <c r="M274"/>
      <c r="N274"/>
    </row>
    <row r="275" spans="11:14" x14ac:dyDescent="0.3">
      <c r="K275"/>
      <c r="L275"/>
      <c r="M275"/>
      <c r="N275"/>
    </row>
    <row r="276" spans="11:14" x14ac:dyDescent="0.3">
      <c r="K276"/>
      <c r="L276"/>
      <c r="M276"/>
      <c r="N276"/>
    </row>
    <row r="277" spans="11:14" x14ac:dyDescent="0.3">
      <c r="K277"/>
      <c r="L277"/>
      <c r="M277"/>
      <c r="N277"/>
    </row>
    <row r="278" spans="11:14" x14ac:dyDescent="0.3">
      <c r="K278"/>
      <c r="L278"/>
      <c r="M278"/>
      <c r="N278"/>
    </row>
    <row r="279" spans="11:14" x14ac:dyDescent="0.3">
      <c r="K279"/>
      <c r="L279"/>
      <c r="M279"/>
      <c r="N279"/>
    </row>
    <row r="280" spans="11:14" x14ac:dyDescent="0.3">
      <c r="K280"/>
      <c r="L280"/>
      <c r="M280"/>
      <c r="N280"/>
    </row>
    <row r="281" spans="11:14" x14ac:dyDescent="0.3">
      <c r="K281"/>
      <c r="L281"/>
      <c r="M281"/>
      <c r="N281"/>
    </row>
    <row r="282" spans="11:14" x14ac:dyDescent="0.3">
      <c r="K282"/>
      <c r="L282"/>
      <c r="M282"/>
      <c r="N282"/>
    </row>
    <row r="283" spans="11:14" x14ac:dyDescent="0.3">
      <c r="K283"/>
      <c r="L283"/>
      <c r="M283"/>
      <c r="N283"/>
    </row>
    <row r="284" spans="11:14" x14ac:dyDescent="0.3">
      <c r="K284"/>
      <c r="L284"/>
      <c r="M284"/>
      <c r="N284"/>
    </row>
    <row r="285" spans="11:14" x14ac:dyDescent="0.3">
      <c r="K285"/>
      <c r="L285"/>
      <c r="M285"/>
      <c r="N285"/>
    </row>
    <row r="286" spans="11:14" x14ac:dyDescent="0.3">
      <c r="K286"/>
      <c r="L286"/>
      <c r="M286"/>
      <c r="N286"/>
    </row>
    <row r="287" spans="11:14" x14ac:dyDescent="0.3">
      <c r="K287"/>
      <c r="L287"/>
      <c r="M287"/>
      <c r="N287"/>
    </row>
    <row r="288" spans="11:14" x14ac:dyDescent="0.3">
      <c r="K288"/>
      <c r="L288"/>
      <c r="M288"/>
      <c r="N288"/>
    </row>
    <row r="289" spans="11:14" x14ac:dyDescent="0.3">
      <c r="K289"/>
      <c r="L289"/>
      <c r="M289"/>
      <c r="N289"/>
    </row>
    <row r="290" spans="11:14" x14ac:dyDescent="0.3">
      <c r="K290"/>
      <c r="L290"/>
      <c r="M290"/>
      <c r="N290"/>
    </row>
    <row r="291" spans="11:14" x14ac:dyDescent="0.3">
      <c r="K291"/>
      <c r="L291"/>
      <c r="M291"/>
      <c r="N291"/>
    </row>
    <row r="292" spans="11:14" x14ac:dyDescent="0.3">
      <c r="K292"/>
      <c r="L292"/>
      <c r="M292"/>
      <c r="N292"/>
    </row>
    <row r="293" spans="11:14" x14ac:dyDescent="0.3">
      <c r="K293"/>
      <c r="L293"/>
      <c r="M293"/>
      <c r="N293"/>
    </row>
    <row r="294" spans="11:14" x14ac:dyDescent="0.3">
      <c r="K294"/>
      <c r="L294"/>
      <c r="M294"/>
      <c r="N294"/>
    </row>
    <row r="295" spans="11:14" x14ac:dyDescent="0.3">
      <c r="K295"/>
      <c r="L295"/>
      <c r="M295"/>
      <c r="N295"/>
    </row>
    <row r="296" spans="11:14" x14ac:dyDescent="0.3">
      <c r="K296"/>
      <c r="L296"/>
      <c r="M296"/>
      <c r="N296"/>
    </row>
    <row r="297" spans="11:14" x14ac:dyDescent="0.3">
      <c r="K297"/>
      <c r="L297"/>
      <c r="M297"/>
      <c r="N297"/>
    </row>
    <row r="298" spans="11:14" x14ac:dyDescent="0.3">
      <c r="K298"/>
      <c r="L298"/>
      <c r="M298"/>
      <c r="N298"/>
    </row>
    <row r="299" spans="11:14" x14ac:dyDescent="0.3">
      <c r="K299"/>
      <c r="L299"/>
      <c r="M299"/>
      <c r="N299"/>
    </row>
    <row r="300" spans="11:14" x14ac:dyDescent="0.3">
      <c r="K300"/>
      <c r="L300"/>
      <c r="M300"/>
      <c r="N300"/>
    </row>
    <row r="301" spans="11:14" x14ac:dyDescent="0.3">
      <c r="K301"/>
      <c r="L301"/>
      <c r="M301"/>
      <c r="N301"/>
    </row>
    <row r="302" spans="11:14" x14ac:dyDescent="0.3">
      <c r="K302"/>
      <c r="L302"/>
      <c r="M302"/>
      <c r="N302"/>
    </row>
    <row r="303" spans="11:14" x14ac:dyDescent="0.3">
      <c r="K303"/>
      <c r="L303"/>
      <c r="M303"/>
      <c r="N303"/>
    </row>
    <row r="304" spans="11:14" x14ac:dyDescent="0.3">
      <c r="K304"/>
      <c r="L304"/>
      <c r="M304"/>
      <c r="N304"/>
    </row>
    <row r="305" spans="11:14" x14ac:dyDescent="0.3">
      <c r="K305"/>
      <c r="L305"/>
      <c r="M305"/>
      <c r="N305"/>
    </row>
    <row r="306" spans="11:14" x14ac:dyDescent="0.3">
      <c r="K306"/>
      <c r="L306"/>
      <c r="M306"/>
      <c r="N306"/>
    </row>
    <row r="307" spans="11:14" x14ac:dyDescent="0.3">
      <c r="K307"/>
      <c r="L307"/>
      <c r="M307"/>
      <c r="N307"/>
    </row>
    <row r="308" spans="11:14" x14ac:dyDescent="0.3">
      <c r="K308"/>
      <c r="L308"/>
      <c r="M308"/>
      <c r="N308"/>
    </row>
    <row r="309" spans="11:14" x14ac:dyDescent="0.3">
      <c r="K309"/>
      <c r="L309"/>
      <c r="M309"/>
      <c r="N309"/>
    </row>
    <row r="310" spans="11:14" x14ac:dyDescent="0.3">
      <c r="K310"/>
      <c r="L310"/>
      <c r="M310"/>
      <c r="N310"/>
    </row>
    <row r="311" spans="11:14" x14ac:dyDescent="0.3">
      <c r="K311"/>
      <c r="L311"/>
      <c r="M311"/>
      <c r="N311"/>
    </row>
    <row r="312" spans="11:14" x14ac:dyDescent="0.3">
      <c r="K312"/>
      <c r="L312"/>
      <c r="M312"/>
      <c r="N312"/>
    </row>
    <row r="313" spans="11:14" x14ac:dyDescent="0.3">
      <c r="K313"/>
      <c r="L313"/>
      <c r="M313"/>
      <c r="N313"/>
    </row>
    <row r="314" spans="11:14" x14ac:dyDescent="0.3">
      <c r="K314"/>
      <c r="L314"/>
      <c r="M314"/>
      <c r="N314"/>
    </row>
    <row r="315" spans="11:14" x14ac:dyDescent="0.3">
      <c r="K315"/>
      <c r="L315"/>
      <c r="M315"/>
      <c r="N315"/>
    </row>
    <row r="316" spans="11:14" x14ac:dyDescent="0.3">
      <c r="K316"/>
      <c r="L316"/>
      <c r="M316"/>
      <c r="N316"/>
    </row>
    <row r="317" spans="11:14" x14ac:dyDescent="0.3">
      <c r="K317"/>
      <c r="L317"/>
      <c r="M317"/>
      <c r="N317"/>
    </row>
    <row r="318" spans="11:14" x14ac:dyDescent="0.3">
      <c r="K318"/>
      <c r="L318"/>
      <c r="M318"/>
      <c r="N318"/>
    </row>
    <row r="319" spans="11:14" x14ac:dyDescent="0.3">
      <c r="K319"/>
      <c r="L319"/>
      <c r="M319"/>
      <c r="N319"/>
    </row>
    <row r="320" spans="11:14" x14ac:dyDescent="0.3">
      <c r="K320"/>
      <c r="L320"/>
      <c r="M320"/>
      <c r="N320"/>
    </row>
    <row r="321" spans="11:14" x14ac:dyDescent="0.3">
      <c r="K321"/>
      <c r="L321"/>
      <c r="M321"/>
      <c r="N321"/>
    </row>
    <row r="322" spans="11:14" x14ac:dyDescent="0.3">
      <c r="K322"/>
      <c r="L322"/>
      <c r="M322"/>
      <c r="N322"/>
    </row>
    <row r="323" spans="11:14" x14ac:dyDescent="0.3">
      <c r="K323"/>
      <c r="L323"/>
      <c r="M323"/>
      <c r="N323"/>
    </row>
    <row r="324" spans="11:14" x14ac:dyDescent="0.3">
      <c r="K324"/>
      <c r="L324"/>
      <c r="M324"/>
      <c r="N324"/>
    </row>
    <row r="325" spans="11:14" x14ac:dyDescent="0.3">
      <c r="K325"/>
      <c r="L325"/>
      <c r="M325"/>
      <c r="N325"/>
    </row>
    <row r="326" spans="11:14" x14ac:dyDescent="0.3">
      <c r="K326"/>
      <c r="L326"/>
      <c r="M326"/>
      <c r="N326"/>
    </row>
    <row r="327" spans="11:14" x14ac:dyDescent="0.3">
      <c r="K327"/>
      <c r="L327"/>
      <c r="M327"/>
      <c r="N327"/>
    </row>
    <row r="328" spans="11:14" x14ac:dyDescent="0.3">
      <c r="K328"/>
      <c r="L328"/>
      <c r="M328"/>
      <c r="N328"/>
    </row>
    <row r="329" spans="11:14" x14ac:dyDescent="0.3">
      <c r="K329"/>
      <c r="L329"/>
      <c r="M329"/>
      <c r="N329"/>
    </row>
    <row r="330" spans="11:14" x14ac:dyDescent="0.3">
      <c r="K330"/>
      <c r="L330"/>
      <c r="M330"/>
      <c r="N330"/>
    </row>
    <row r="331" spans="11:14" x14ac:dyDescent="0.3">
      <c r="K331"/>
      <c r="L331"/>
      <c r="M331"/>
      <c r="N331"/>
    </row>
    <row r="332" spans="11:14" x14ac:dyDescent="0.3">
      <c r="K332"/>
      <c r="L332"/>
      <c r="M332"/>
      <c r="N332"/>
    </row>
    <row r="333" spans="11:14" x14ac:dyDescent="0.3">
      <c r="K333"/>
      <c r="L333"/>
      <c r="M333"/>
      <c r="N333"/>
    </row>
    <row r="334" spans="11:14" x14ac:dyDescent="0.3">
      <c r="K334"/>
      <c r="L334"/>
      <c r="M334"/>
      <c r="N334"/>
    </row>
    <row r="335" spans="11:14" x14ac:dyDescent="0.3">
      <c r="K335"/>
      <c r="L335"/>
      <c r="M335"/>
      <c r="N335"/>
    </row>
    <row r="336" spans="11:14" x14ac:dyDescent="0.3">
      <c r="K336"/>
      <c r="L336"/>
      <c r="M336"/>
      <c r="N336"/>
    </row>
    <row r="337" spans="11:14" x14ac:dyDescent="0.3">
      <c r="K337"/>
      <c r="L337"/>
      <c r="M337"/>
      <c r="N337"/>
    </row>
    <row r="338" spans="11:14" x14ac:dyDescent="0.3">
      <c r="K338"/>
      <c r="L338"/>
      <c r="M338"/>
      <c r="N338"/>
    </row>
    <row r="339" spans="11:14" x14ac:dyDescent="0.3">
      <c r="K339"/>
      <c r="L339"/>
      <c r="M339"/>
      <c r="N339"/>
    </row>
    <row r="340" spans="11:14" x14ac:dyDescent="0.3">
      <c r="K340"/>
      <c r="L340"/>
      <c r="M340"/>
      <c r="N340"/>
    </row>
    <row r="341" spans="11:14" x14ac:dyDescent="0.3">
      <c r="K341"/>
      <c r="L341"/>
      <c r="M341"/>
      <c r="N341"/>
    </row>
    <row r="342" spans="11:14" x14ac:dyDescent="0.3">
      <c r="K342"/>
      <c r="L342"/>
      <c r="M342"/>
      <c r="N342"/>
    </row>
    <row r="343" spans="11:14" x14ac:dyDescent="0.3">
      <c r="K343"/>
      <c r="L343"/>
      <c r="M343"/>
      <c r="N343"/>
    </row>
    <row r="344" spans="11:14" x14ac:dyDescent="0.3">
      <c r="K344"/>
      <c r="L344"/>
      <c r="M344"/>
      <c r="N344"/>
    </row>
    <row r="345" spans="11:14" x14ac:dyDescent="0.3">
      <c r="K345"/>
      <c r="L345"/>
      <c r="M345"/>
      <c r="N345"/>
    </row>
    <row r="346" spans="11:14" x14ac:dyDescent="0.3">
      <c r="K346"/>
      <c r="L346"/>
      <c r="M346"/>
      <c r="N346"/>
    </row>
    <row r="347" spans="11:14" x14ac:dyDescent="0.3">
      <c r="K347"/>
      <c r="L347"/>
      <c r="M347"/>
      <c r="N347"/>
    </row>
    <row r="348" spans="11:14" x14ac:dyDescent="0.3">
      <c r="K348"/>
      <c r="L348"/>
      <c r="M348"/>
      <c r="N348"/>
    </row>
    <row r="349" spans="11:14" x14ac:dyDescent="0.3">
      <c r="K349"/>
      <c r="L349"/>
      <c r="M349"/>
      <c r="N349"/>
    </row>
    <row r="350" spans="11:14" x14ac:dyDescent="0.3">
      <c r="K350"/>
      <c r="L350"/>
      <c r="M350"/>
      <c r="N350"/>
    </row>
    <row r="351" spans="11:14" x14ac:dyDescent="0.3">
      <c r="K351"/>
      <c r="L351"/>
      <c r="M351"/>
      <c r="N351"/>
    </row>
    <row r="352" spans="11:14" x14ac:dyDescent="0.3">
      <c r="K352"/>
      <c r="L352"/>
      <c r="M352"/>
      <c r="N352"/>
    </row>
    <row r="353" spans="11:14" x14ac:dyDescent="0.3">
      <c r="K353"/>
      <c r="L353"/>
      <c r="M353"/>
      <c r="N353"/>
    </row>
    <row r="354" spans="11:14" x14ac:dyDescent="0.3">
      <c r="K354"/>
      <c r="L354"/>
      <c r="M354"/>
      <c r="N354"/>
    </row>
    <row r="355" spans="11:14" x14ac:dyDescent="0.3">
      <c r="K355"/>
      <c r="L355"/>
      <c r="M355"/>
      <c r="N355"/>
    </row>
    <row r="356" spans="11:14" x14ac:dyDescent="0.3">
      <c r="K356"/>
      <c r="L356"/>
      <c r="M356"/>
      <c r="N356"/>
    </row>
    <row r="357" spans="11:14" x14ac:dyDescent="0.3">
      <c r="K357"/>
      <c r="L357"/>
      <c r="M357"/>
      <c r="N357"/>
    </row>
    <row r="358" spans="11:14" x14ac:dyDescent="0.3">
      <c r="K358"/>
      <c r="L358"/>
      <c r="M358"/>
      <c r="N358"/>
    </row>
    <row r="359" spans="11:14" x14ac:dyDescent="0.3">
      <c r="K359"/>
      <c r="L359"/>
      <c r="M359"/>
      <c r="N359"/>
    </row>
    <row r="360" spans="11:14" x14ac:dyDescent="0.3">
      <c r="K360"/>
      <c r="L360"/>
      <c r="M360"/>
      <c r="N360"/>
    </row>
    <row r="361" spans="11:14" x14ac:dyDescent="0.3">
      <c r="K361"/>
      <c r="L361"/>
      <c r="M361"/>
      <c r="N361"/>
    </row>
    <row r="362" spans="11:14" x14ac:dyDescent="0.3">
      <c r="K362"/>
      <c r="L362"/>
      <c r="M362"/>
      <c r="N362"/>
    </row>
    <row r="363" spans="11:14" x14ac:dyDescent="0.3">
      <c r="K363"/>
      <c r="L363"/>
      <c r="M363"/>
      <c r="N363"/>
    </row>
    <row r="364" spans="11:14" x14ac:dyDescent="0.3">
      <c r="K364"/>
      <c r="L364"/>
      <c r="M364"/>
      <c r="N364"/>
    </row>
    <row r="365" spans="11:14" x14ac:dyDescent="0.3">
      <c r="K365"/>
      <c r="L365"/>
      <c r="M365"/>
      <c r="N365"/>
    </row>
    <row r="366" spans="11:14" x14ac:dyDescent="0.3">
      <c r="K366"/>
      <c r="L366"/>
      <c r="M366"/>
      <c r="N366"/>
    </row>
    <row r="367" spans="11:14" x14ac:dyDescent="0.3">
      <c r="K367"/>
      <c r="L367"/>
      <c r="M367"/>
      <c r="N367"/>
    </row>
    <row r="368" spans="11:14" x14ac:dyDescent="0.3">
      <c r="K368"/>
      <c r="L368"/>
      <c r="M368"/>
      <c r="N368"/>
    </row>
    <row r="369" spans="11:14" x14ac:dyDescent="0.3">
      <c r="K369"/>
      <c r="L369"/>
      <c r="M369"/>
      <c r="N369"/>
    </row>
    <row r="370" spans="11:14" x14ac:dyDescent="0.3">
      <c r="K370"/>
      <c r="L370"/>
      <c r="M370"/>
      <c r="N370"/>
    </row>
    <row r="371" spans="11:14" x14ac:dyDescent="0.3">
      <c r="K371"/>
      <c r="L371"/>
      <c r="M371"/>
      <c r="N371"/>
    </row>
    <row r="372" spans="11:14" x14ac:dyDescent="0.3">
      <c r="K372"/>
      <c r="L372"/>
      <c r="M372"/>
      <c r="N372"/>
    </row>
    <row r="373" spans="11:14" x14ac:dyDescent="0.3">
      <c r="K373"/>
      <c r="L373"/>
      <c r="M373"/>
      <c r="N373"/>
    </row>
    <row r="374" spans="11:14" x14ac:dyDescent="0.3">
      <c r="K374"/>
      <c r="L374"/>
      <c r="M374"/>
      <c r="N374"/>
    </row>
    <row r="375" spans="11:14" x14ac:dyDescent="0.3">
      <c r="K375"/>
      <c r="L375"/>
      <c r="M375"/>
      <c r="N375"/>
    </row>
    <row r="376" spans="11:14" x14ac:dyDescent="0.3">
      <c r="K376"/>
      <c r="L376"/>
      <c r="M376"/>
      <c r="N376"/>
    </row>
    <row r="377" spans="11:14" x14ac:dyDescent="0.3">
      <c r="K377"/>
      <c r="L377"/>
      <c r="M377"/>
      <c r="N377"/>
    </row>
    <row r="378" spans="11:14" x14ac:dyDescent="0.3">
      <c r="K378"/>
      <c r="L378"/>
      <c r="M378"/>
      <c r="N378"/>
    </row>
    <row r="379" spans="11:14" x14ac:dyDescent="0.3">
      <c r="K379"/>
      <c r="L379"/>
      <c r="M379"/>
      <c r="N379"/>
    </row>
    <row r="380" spans="11:14" x14ac:dyDescent="0.3">
      <c r="K380"/>
      <c r="L380"/>
      <c r="M380"/>
      <c r="N380"/>
    </row>
    <row r="381" spans="11:14" x14ac:dyDescent="0.3">
      <c r="K381"/>
      <c r="L381"/>
      <c r="M381"/>
      <c r="N381"/>
    </row>
    <row r="382" spans="11:14" x14ac:dyDescent="0.3">
      <c r="K382"/>
      <c r="L382"/>
      <c r="M382"/>
      <c r="N382"/>
    </row>
    <row r="383" spans="11:14" x14ac:dyDescent="0.3">
      <c r="K383"/>
      <c r="L383"/>
      <c r="M383"/>
      <c r="N383"/>
    </row>
    <row r="384" spans="11:14" x14ac:dyDescent="0.3">
      <c r="K384"/>
      <c r="L384"/>
      <c r="M384"/>
      <c r="N384"/>
    </row>
    <row r="385" spans="11:14" x14ac:dyDescent="0.3">
      <c r="K385"/>
      <c r="L385"/>
      <c r="M385"/>
      <c r="N385"/>
    </row>
    <row r="386" spans="11:14" x14ac:dyDescent="0.3">
      <c r="K386"/>
      <c r="L386"/>
      <c r="M386"/>
      <c r="N386"/>
    </row>
    <row r="387" spans="11:14" x14ac:dyDescent="0.3">
      <c r="K387"/>
      <c r="L387"/>
      <c r="M387"/>
      <c r="N387"/>
    </row>
    <row r="388" spans="11:14" x14ac:dyDescent="0.3">
      <c r="K388"/>
      <c r="L388"/>
      <c r="M388"/>
      <c r="N388"/>
    </row>
    <row r="389" spans="11:14" x14ac:dyDescent="0.3">
      <c r="K389"/>
      <c r="L389"/>
      <c r="M389"/>
      <c r="N389"/>
    </row>
    <row r="390" spans="11:14" x14ac:dyDescent="0.3">
      <c r="K390"/>
      <c r="L390"/>
      <c r="M390"/>
      <c r="N390"/>
    </row>
    <row r="391" spans="11:14" x14ac:dyDescent="0.3">
      <c r="K391"/>
      <c r="L391"/>
      <c r="M391"/>
      <c r="N391"/>
    </row>
    <row r="392" spans="11:14" x14ac:dyDescent="0.3">
      <c r="K392"/>
      <c r="L392"/>
      <c r="M392"/>
      <c r="N392"/>
    </row>
    <row r="393" spans="11:14" x14ac:dyDescent="0.3">
      <c r="K393"/>
      <c r="L393"/>
      <c r="M393"/>
      <c r="N393"/>
    </row>
    <row r="394" spans="11:14" x14ac:dyDescent="0.3">
      <c r="K394"/>
      <c r="L394"/>
      <c r="M394"/>
      <c r="N394"/>
    </row>
    <row r="395" spans="11:14" x14ac:dyDescent="0.3">
      <c r="K395"/>
      <c r="L395"/>
      <c r="M395"/>
      <c r="N395"/>
    </row>
    <row r="396" spans="11:14" x14ac:dyDescent="0.3">
      <c r="K396"/>
      <c r="L396"/>
      <c r="M396"/>
      <c r="N396"/>
    </row>
    <row r="397" spans="11:14" x14ac:dyDescent="0.3">
      <c r="K397"/>
      <c r="L397"/>
      <c r="M397"/>
      <c r="N397"/>
    </row>
    <row r="398" spans="11:14" x14ac:dyDescent="0.3">
      <c r="K398"/>
      <c r="L398"/>
      <c r="M398"/>
      <c r="N398"/>
    </row>
    <row r="399" spans="11:14" x14ac:dyDescent="0.3">
      <c r="K399"/>
      <c r="L399"/>
      <c r="M399"/>
      <c r="N399"/>
    </row>
    <row r="400" spans="11:14" x14ac:dyDescent="0.3">
      <c r="K400"/>
      <c r="L400"/>
      <c r="M400"/>
      <c r="N400"/>
    </row>
    <row r="401" spans="11:14" x14ac:dyDescent="0.3">
      <c r="K401"/>
      <c r="L401"/>
      <c r="M401"/>
      <c r="N401"/>
    </row>
    <row r="402" spans="11:14" x14ac:dyDescent="0.3">
      <c r="K402"/>
      <c r="L402"/>
      <c r="M402"/>
      <c r="N402"/>
    </row>
    <row r="403" spans="11:14" x14ac:dyDescent="0.3">
      <c r="K403"/>
      <c r="L403"/>
      <c r="M403"/>
      <c r="N403"/>
    </row>
    <row r="404" spans="11:14" x14ac:dyDescent="0.3">
      <c r="K404"/>
      <c r="L404"/>
      <c r="M404"/>
      <c r="N404"/>
    </row>
    <row r="405" spans="11:14" x14ac:dyDescent="0.3">
      <c r="K405"/>
      <c r="L405"/>
      <c r="M405"/>
      <c r="N405"/>
    </row>
    <row r="406" spans="11:14" x14ac:dyDescent="0.3">
      <c r="K406"/>
      <c r="L406"/>
      <c r="M406"/>
      <c r="N406"/>
    </row>
    <row r="407" spans="11:14" x14ac:dyDescent="0.3">
      <c r="K407"/>
      <c r="L407"/>
      <c r="M407"/>
      <c r="N407"/>
    </row>
    <row r="408" spans="11:14" x14ac:dyDescent="0.3">
      <c r="K408"/>
      <c r="L408"/>
      <c r="M408"/>
      <c r="N408"/>
    </row>
    <row r="409" spans="11:14" x14ac:dyDescent="0.3">
      <c r="K409"/>
      <c r="L409"/>
      <c r="M409"/>
      <c r="N409"/>
    </row>
    <row r="410" spans="11:14" x14ac:dyDescent="0.3">
      <c r="K410"/>
      <c r="L410"/>
      <c r="M410"/>
      <c r="N410"/>
    </row>
    <row r="411" spans="11:14" x14ac:dyDescent="0.3">
      <c r="K411"/>
      <c r="L411"/>
      <c r="M411"/>
      <c r="N411"/>
    </row>
    <row r="412" spans="11:14" x14ac:dyDescent="0.3">
      <c r="K412"/>
      <c r="L412"/>
      <c r="M412"/>
      <c r="N412"/>
    </row>
    <row r="413" spans="11:14" x14ac:dyDescent="0.3">
      <c r="K413"/>
      <c r="L413"/>
      <c r="M413"/>
      <c r="N413"/>
    </row>
    <row r="414" spans="11:14" x14ac:dyDescent="0.3">
      <c r="K414"/>
      <c r="L414"/>
      <c r="M414"/>
      <c r="N414"/>
    </row>
    <row r="415" spans="11:14" x14ac:dyDescent="0.3">
      <c r="K415"/>
      <c r="L415"/>
      <c r="M415"/>
      <c r="N415"/>
    </row>
    <row r="416" spans="11:14" x14ac:dyDescent="0.3">
      <c r="K416"/>
      <c r="L416"/>
      <c r="M416"/>
      <c r="N416"/>
    </row>
    <row r="417" spans="11:14" x14ac:dyDescent="0.3">
      <c r="K417"/>
      <c r="L417"/>
      <c r="M417"/>
      <c r="N417"/>
    </row>
    <row r="418" spans="11:14" x14ac:dyDescent="0.3">
      <c r="K418"/>
      <c r="L418"/>
      <c r="M418"/>
      <c r="N418"/>
    </row>
    <row r="419" spans="11:14" x14ac:dyDescent="0.3">
      <c r="K419"/>
      <c r="L419"/>
      <c r="M419"/>
      <c r="N419"/>
    </row>
    <row r="420" spans="11:14" x14ac:dyDescent="0.3">
      <c r="K420"/>
      <c r="L420"/>
      <c r="M420"/>
      <c r="N420"/>
    </row>
    <row r="421" spans="11:14" x14ac:dyDescent="0.3">
      <c r="K421"/>
      <c r="L421"/>
      <c r="M421"/>
      <c r="N421"/>
    </row>
    <row r="422" spans="11:14" x14ac:dyDescent="0.3">
      <c r="K422"/>
      <c r="L422"/>
      <c r="M422"/>
      <c r="N422"/>
    </row>
    <row r="423" spans="11:14" x14ac:dyDescent="0.3">
      <c r="K423"/>
      <c r="L423"/>
      <c r="M423"/>
      <c r="N423"/>
    </row>
    <row r="424" spans="11:14" x14ac:dyDescent="0.3">
      <c r="K424"/>
      <c r="L424"/>
      <c r="M424"/>
      <c r="N424"/>
    </row>
    <row r="425" spans="11:14" x14ac:dyDescent="0.3">
      <c r="K425"/>
      <c r="L425"/>
      <c r="M425"/>
      <c r="N425"/>
    </row>
    <row r="426" spans="11:14" x14ac:dyDescent="0.3">
      <c r="K426"/>
      <c r="L426"/>
      <c r="M426"/>
      <c r="N426"/>
    </row>
    <row r="427" spans="11:14" x14ac:dyDescent="0.3">
      <c r="K427"/>
      <c r="L427"/>
      <c r="M427"/>
      <c r="N427"/>
    </row>
    <row r="428" spans="11:14" x14ac:dyDescent="0.3">
      <c r="K428"/>
      <c r="L428"/>
      <c r="M428"/>
      <c r="N428"/>
    </row>
    <row r="429" spans="11:14" x14ac:dyDescent="0.3">
      <c r="K429"/>
      <c r="L429"/>
      <c r="M429"/>
      <c r="N429"/>
    </row>
    <row r="430" spans="11:14" x14ac:dyDescent="0.3">
      <c r="K430"/>
      <c r="L430"/>
      <c r="M430"/>
      <c r="N430"/>
    </row>
    <row r="431" spans="11:14" x14ac:dyDescent="0.3">
      <c r="K431"/>
      <c r="L431"/>
      <c r="M431"/>
      <c r="N431"/>
    </row>
    <row r="432" spans="11:14" x14ac:dyDescent="0.3">
      <c r="K432"/>
      <c r="L432"/>
      <c r="M432"/>
      <c r="N432"/>
    </row>
    <row r="433" spans="11:14" x14ac:dyDescent="0.3">
      <c r="K433"/>
      <c r="L433"/>
      <c r="M433"/>
      <c r="N433"/>
    </row>
    <row r="434" spans="11:14" x14ac:dyDescent="0.3">
      <c r="K434"/>
      <c r="L434"/>
      <c r="M434"/>
      <c r="N434"/>
    </row>
    <row r="435" spans="11:14" x14ac:dyDescent="0.3">
      <c r="K435"/>
      <c r="L435"/>
      <c r="M435"/>
      <c r="N435"/>
    </row>
    <row r="436" spans="11:14" x14ac:dyDescent="0.3">
      <c r="K436"/>
      <c r="L436"/>
      <c r="M436"/>
      <c r="N436"/>
    </row>
    <row r="437" spans="11:14" x14ac:dyDescent="0.3">
      <c r="K437"/>
      <c r="L437"/>
      <c r="M437"/>
      <c r="N437"/>
    </row>
    <row r="438" spans="11:14" x14ac:dyDescent="0.3">
      <c r="K438"/>
      <c r="L438"/>
      <c r="M438"/>
      <c r="N438"/>
    </row>
    <row r="439" spans="11:14" x14ac:dyDescent="0.3">
      <c r="K439"/>
      <c r="L439"/>
      <c r="M439"/>
      <c r="N439"/>
    </row>
    <row r="440" spans="11:14" x14ac:dyDescent="0.3">
      <c r="K440"/>
      <c r="L440"/>
      <c r="M440"/>
      <c r="N440"/>
    </row>
    <row r="441" spans="11:14" x14ac:dyDescent="0.3">
      <c r="K441"/>
      <c r="L441"/>
      <c r="M441"/>
      <c r="N441"/>
    </row>
    <row r="442" spans="11:14" x14ac:dyDescent="0.3">
      <c r="K442"/>
      <c r="L442"/>
      <c r="M442"/>
      <c r="N442"/>
    </row>
    <row r="443" spans="11:14" x14ac:dyDescent="0.3">
      <c r="K443"/>
      <c r="L443"/>
      <c r="M443"/>
      <c r="N443"/>
    </row>
    <row r="444" spans="11:14" x14ac:dyDescent="0.3">
      <c r="K444"/>
      <c r="L444"/>
      <c r="M444"/>
      <c r="N444"/>
    </row>
    <row r="445" spans="11:14" x14ac:dyDescent="0.3">
      <c r="K445"/>
      <c r="L445"/>
      <c r="M445"/>
      <c r="N445"/>
    </row>
    <row r="446" spans="11:14" x14ac:dyDescent="0.3">
      <c r="K446"/>
      <c r="L446"/>
      <c r="M446"/>
      <c r="N446"/>
    </row>
    <row r="447" spans="11:14" x14ac:dyDescent="0.3">
      <c r="K447"/>
      <c r="L447"/>
      <c r="M447"/>
      <c r="N447"/>
    </row>
    <row r="448" spans="11:14" x14ac:dyDescent="0.3">
      <c r="K448"/>
      <c r="L448"/>
      <c r="M448"/>
      <c r="N448"/>
    </row>
    <row r="449" spans="11:14" x14ac:dyDescent="0.3">
      <c r="K449"/>
      <c r="L449"/>
      <c r="M449"/>
      <c r="N449"/>
    </row>
    <row r="450" spans="11:14" x14ac:dyDescent="0.3">
      <c r="K450"/>
      <c r="L450"/>
      <c r="M450"/>
      <c r="N450"/>
    </row>
    <row r="451" spans="11:14" x14ac:dyDescent="0.3">
      <c r="K451"/>
      <c r="L451"/>
      <c r="M451"/>
      <c r="N451"/>
    </row>
    <row r="452" spans="11:14" x14ac:dyDescent="0.3">
      <c r="K452"/>
      <c r="L452"/>
      <c r="M452"/>
      <c r="N452"/>
    </row>
    <row r="453" spans="11:14" x14ac:dyDescent="0.3">
      <c r="K453"/>
      <c r="L453"/>
      <c r="M453"/>
      <c r="N453"/>
    </row>
    <row r="454" spans="11:14" x14ac:dyDescent="0.3">
      <c r="K454"/>
      <c r="L454"/>
      <c r="M454"/>
      <c r="N454"/>
    </row>
    <row r="455" spans="11:14" x14ac:dyDescent="0.3">
      <c r="K455"/>
      <c r="L455"/>
      <c r="M455"/>
      <c r="N455"/>
    </row>
    <row r="456" spans="11:14" x14ac:dyDescent="0.3">
      <c r="K456"/>
      <c r="L456"/>
      <c r="M456"/>
      <c r="N456"/>
    </row>
    <row r="457" spans="11:14" x14ac:dyDescent="0.3">
      <c r="K457"/>
      <c r="L457"/>
      <c r="M457"/>
      <c r="N457"/>
    </row>
    <row r="458" spans="11:14" x14ac:dyDescent="0.3">
      <c r="K458"/>
      <c r="L458"/>
      <c r="M458"/>
      <c r="N458"/>
    </row>
    <row r="459" spans="11:14" x14ac:dyDescent="0.3">
      <c r="K459"/>
      <c r="L459"/>
      <c r="M459"/>
      <c r="N459"/>
    </row>
    <row r="460" spans="11:14" x14ac:dyDescent="0.3">
      <c r="K460"/>
      <c r="L460"/>
      <c r="M460"/>
      <c r="N460"/>
    </row>
    <row r="461" spans="11:14" x14ac:dyDescent="0.3">
      <c r="K461"/>
      <c r="L461"/>
      <c r="M461"/>
      <c r="N461"/>
    </row>
    <row r="462" spans="11:14" x14ac:dyDescent="0.3">
      <c r="K462"/>
      <c r="L462"/>
      <c r="M462"/>
      <c r="N462"/>
    </row>
    <row r="463" spans="11:14" x14ac:dyDescent="0.3">
      <c r="K463"/>
      <c r="L463"/>
      <c r="M463"/>
      <c r="N463"/>
    </row>
    <row r="464" spans="11:14" x14ac:dyDescent="0.3">
      <c r="K464"/>
      <c r="L464"/>
      <c r="M464"/>
      <c r="N464"/>
    </row>
    <row r="465" spans="11:14" x14ac:dyDescent="0.3">
      <c r="K465"/>
      <c r="L465"/>
      <c r="M465"/>
      <c r="N465"/>
    </row>
    <row r="466" spans="11:14" x14ac:dyDescent="0.3">
      <c r="K466"/>
      <c r="L466"/>
      <c r="M466"/>
      <c r="N466"/>
    </row>
    <row r="467" spans="11:14" x14ac:dyDescent="0.3">
      <c r="K467"/>
      <c r="L467"/>
      <c r="M467"/>
      <c r="N467"/>
    </row>
    <row r="468" spans="11:14" x14ac:dyDescent="0.3">
      <c r="K468"/>
      <c r="L468"/>
      <c r="M468"/>
      <c r="N468"/>
    </row>
    <row r="469" spans="11:14" x14ac:dyDescent="0.3">
      <c r="K469"/>
      <c r="L469"/>
      <c r="M469"/>
      <c r="N469"/>
    </row>
    <row r="470" spans="11:14" x14ac:dyDescent="0.3">
      <c r="K470"/>
      <c r="L470"/>
      <c r="M470"/>
      <c r="N470"/>
    </row>
    <row r="471" spans="11:14" x14ac:dyDescent="0.3">
      <c r="K471"/>
      <c r="L471"/>
      <c r="M471"/>
      <c r="N471"/>
    </row>
    <row r="472" spans="11:14" x14ac:dyDescent="0.3">
      <c r="K472"/>
      <c r="L472"/>
      <c r="M472"/>
      <c r="N472"/>
    </row>
    <row r="473" spans="11:14" x14ac:dyDescent="0.3">
      <c r="K473"/>
      <c r="L473"/>
      <c r="M473"/>
      <c r="N473"/>
    </row>
    <row r="474" spans="11:14" x14ac:dyDescent="0.3">
      <c r="K474"/>
      <c r="L474"/>
      <c r="M474"/>
      <c r="N474"/>
    </row>
    <row r="475" spans="11:14" x14ac:dyDescent="0.3">
      <c r="K475"/>
      <c r="L475"/>
      <c r="M475"/>
      <c r="N475"/>
    </row>
    <row r="476" spans="11:14" x14ac:dyDescent="0.3">
      <c r="K476"/>
      <c r="L476"/>
      <c r="M476"/>
      <c r="N476"/>
    </row>
    <row r="477" spans="11:14" x14ac:dyDescent="0.3">
      <c r="K477"/>
      <c r="L477"/>
      <c r="M477"/>
      <c r="N477"/>
    </row>
    <row r="478" spans="11:14" x14ac:dyDescent="0.3">
      <c r="K478"/>
      <c r="L478"/>
      <c r="M478"/>
      <c r="N478"/>
    </row>
    <row r="479" spans="11:14" x14ac:dyDescent="0.3">
      <c r="K479"/>
      <c r="L479"/>
      <c r="M479"/>
      <c r="N479"/>
    </row>
    <row r="480" spans="11:14" x14ac:dyDescent="0.3">
      <c r="K480"/>
      <c r="L480"/>
      <c r="M480"/>
      <c r="N480"/>
    </row>
    <row r="481" spans="11:14" x14ac:dyDescent="0.3">
      <c r="K481"/>
      <c r="L481"/>
      <c r="M481"/>
      <c r="N481"/>
    </row>
    <row r="482" spans="11:14" x14ac:dyDescent="0.3">
      <c r="K482"/>
      <c r="L482"/>
      <c r="M482"/>
      <c r="N482"/>
    </row>
    <row r="483" spans="11:14" x14ac:dyDescent="0.3">
      <c r="K483"/>
      <c r="L483"/>
      <c r="M483"/>
      <c r="N483"/>
    </row>
    <row r="484" spans="11:14" x14ac:dyDescent="0.3">
      <c r="K484"/>
      <c r="L484"/>
      <c r="M484"/>
      <c r="N484"/>
    </row>
    <row r="485" spans="11:14" x14ac:dyDescent="0.3">
      <c r="K485"/>
      <c r="L485"/>
      <c r="M485"/>
      <c r="N485"/>
    </row>
    <row r="486" spans="11:14" x14ac:dyDescent="0.3">
      <c r="K486"/>
      <c r="L486"/>
      <c r="M486"/>
      <c r="N486"/>
    </row>
    <row r="487" spans="11:14" x14ac:dyDescent="0.3">
      <c r="K487"/>
      <c r="L487"/>
      <c r="M487"/>
      <c r="N487"/>
    </row>
    <row r="488" spans="11:14" x14ac:dyDescent="0.3">
      <c r="K488"/>
      <c r="L488"/>
      <c r="M488"/>
      <c r="N488"/>
    </row>
    <row r="489" spans="11:14" x14ac:dyDescent="0.3">
      <c r="K489"/>
      <c r="L489"/>
      <c r="M489"/>
      <c r="N489"/>
    </row>
    <row r="490" spans="11:14" x14ac:dyDescent="0.3">
      <c r="K490"/>
      <c r="L490"/>
      <c r="M490"/>
      <c r="N490"/>
    </row>
    <row r="491" spans="11:14" x14ac:dyDescent="0.3">
      <c r="K491"/>
      <c r="L491"/>
      <c r="M491"/>
      <c r="N491"/>
    </row>
    <row r="492" spans="11:14" x14ac:dyDescent="0.3">
      <c r="K492"/>
      <c r="L492"/>
      <c r="M492"/>
      <c r="N492"/>
    </row>
    <row r="493" spans="11:14" x14ac:dyDescent="0.3">
      <c r="K493"/>
      <c r="L493"/>
      <c r="M493"/>
      <c r="N493"/>
    </row>
    <row r="494" spans="11:14" x14ac:dyDescent="0.3">
      <c r="K494"/>
      <c r="L494"/>
      <c r="M494"/>
      <c r="N494"/>
    </row>
    <row r="495" spans="11:14" x14ac:dyDescent="0.3">
      <c r="K495"/>
      <c r="L495"/>
      <c r="M495"/>
      <c r="N495"/>
    </row>
    <row r="496" spans="11:14" x14ac:dyDescent="0.3">
      <c r="K496"/>
      <c r="L496"/>
      <c r="M496"/>
      <c r="N496"/>
    </row>
    <row r="497" spans="11:14" x14ac:dyDescent="0.3">
      <c r="K497"/>
      <c r="L497"/>
      <c r="M497"/>
      <c r="N497"/>
    </row>
    <row r="498" spans="11:14" x14ac:dyDescent="0.3">
      <c r="K498"/>
      <c r="L498"/>
      <c r="M498"/>
      <c r="N498"/>
    </row>
    <row r="499" spans="11:14" x14ac:dyDescent="0.3">
      <c r="K499"/>
      <c r="L499"/>
      <c r="M499"/>
      <c r="N499"/>
    </row>
    <row r="500" spans="11:14" x14ac:dyDescent="0.3">
      <c r="K500"/>
      <c r="L500"/>
      <c r="M500"/>
      <c r="N500"/>
    </row>
    <row r="501" spans="11:14" x14ac:dyDescent="0.3">
      <c r="K501"/>
      <c r="L501"/>
      <c r="M501"/>
      <c r="N501"/>
    </row>
    <row r="502" spans="11:14" x14ac:dyDescent="0.3">
      <c r="K502"/>
      <c r="L502"/>
      <c r="M502"/>
      <c r="N502"/>
    </row>
    <row r="503" spans="11:14" x14ac:dyDescent="0.3">
      <c r="K503"/>
      <c r="L503"/>
      <c r="M503"/>
      <c r="N503"/>
    </row>
    <row r="504" spans="11:14" x14ac:dyDescent="0.3">
      <c r="K504"/>
      <c r="L504"/>
      <c r="M504"/>
      <c r="N504"/>
    </row>
    <row r="505" spans="11:14" x14ac:dyDescent="0.3">
      <c r="K505"/>
      <c r="L505"/>
      <c r="M505"/>
      <c r="N505"/>
    </row>
    <row r="506" spans="11:14" x14ac:dyDescent="0.3">
      <c r="K506"/>
      <c r="L506"/>
      <c r="M506"/>
      <c r="N506"/>
    </row>
    <row r="507" spans="11:14" x14ac:dyDescent="0.3">
      <c r="K507"/>
      <c r="L507"/>
      <c r="M507"/>
      <c r="N507"/>
    </row>
    <row r="508" spans="11:14" x14ac:dyDescent="0.3">
      <c r="K508"/>
      <c r="L508"/>
      <c r="M508"/>
      <c r="N508"/>
    </row>
    <row r="509" spans="11:14" x14ac:dyDescent="0.3">
      <c r="K509"/>
      <c r="L509"/>
      <c r="M509"/>
      <c r="N509"/>
    </row>
    <row r="510" spans="11:14" x14ac:dyDescent="0.3">
      <c r="K510"/>
      <c r="L510"/>
      <c r="M510"/>
      <c r="N510"/>
    </row>
    <row r="511" spans="11:14" x14ac:dyDescent="0.3">
      <c r="K511"/>
      <c r="L511"/>
      <c r="M511"/>
      <c r="N511"/>
    </row>
    <row r="512" spans="11:14" x14ac:dyDescent="0.3">
      <c r="K512"/>
      <c r="L512"/>
      <c r="M512"/>
      <c r="N512"/>
    </row>
    <row r="513" spans="11:14" x14ac:dyDescent="0.3">
      <c r="K513"/>
      <c r="L513"/>
      <c r="M513"/>
      <c r="N513"/>
    </row>
    <row r="514" spans="11:14" x14ac:dyDescent="0.3">
      <c r="K514"/>
      <c r="L514"/>
      <c r="M514"/>
      <c r="N514"/>
    </row>
    <row r="515" spans="11:14" x14ac:dyDescent="0.3">
      <c r="K515"/>
      <c r="L515"/>
      <c r="M515"/>
      <c r="N515"/>
    </row>
    <row r="516" spans="11:14" x14ac:dyDescent="0.3">
      <c r="K516"/>
      <c r="L516"/>
      <c r="M516"/>
      <c r="N516"/>
    </row>
    <row r="517" spans="11:14" x14ac:dyDescent="0.3">
      <c r="K517"/>
      <c r="L517"/>
      <c r="M517"/>
      <c r="N517"/>
    </row>
    <row r="518" spans="11:14" x14ac:dyDescent="0.3">
      <c r="K518"/>
      <c r="L518"/>
      <c r="M518"/>
      <c r="N518"/>
    </row>
    <row r="519" spans="11:14" x14ac:dyDescent="0.3">
      <c r="K519"/>
      <c r="L519"/>
      <c r="M519"/>
      <c r="N519"/>
    </row>
    <row r="520" spans="11:14" x14ac:dyDescent="0.3">
      <c r="K520"/>
      <c r="L520"/>
      <c r="M520"/>
      <c r="N520"/>
    </row>
    <row r="521" spans="11:14" x14ac:dyDescent="0.3">
      <c r="K521"/>
      <c r="L521"/>
      <c r="M521"/>
      <c r="N521"/>
    </row>
    <row r="522" spans="11:14" x14ac:dyDescent="0.3">
      <c r="K522"/>
      <c r="L522"/>
      <c r="M522"/>
      <c r="N522"/>
    </row>
    <row r="523" spans="11:14" x14ac:dyDescent="0.3">
      <c r="K523"/>
      <c r="L523"/>
      <c r="M523"/>
      <c r="N523"/>
    </row>
    <row r="524" spans="11:14" x14ac:dyDescent="0.3">
      <c r="K524"/>
      <c r="L524"/>
      <c r="M524"/>
      <c r="N524"/>
    </row>
    <row r="525" spans="11:14" x14ac:dyDescent="0.3">
      <c r="K525"/>
      <c r="L525"/>
      <c r="M525"/>
      <c r="N525"/>
    </row>
    <row r="526" spans="11:14" x14ac:dyDescent="0.3">
      <c r="K526"/>
      <c r="L526"/>
      <c r="M526"/>
      <c r="N526"/>
    </row>
    <row r="527" spans="11:14" x14ac:dyDescent="0.3">
      <c r="K527"/>
      <c r="L527"/>
      <c r="M527"/>
      <c r="N527"/>
    </row>
    <row r="528" spans="11:14" x14ac:dyDescent="0.3">
      <c r="K528"/>
      <c r="L528"/>
      <c r="M528"/>
      <c r="N528"/>
    </row>
    <row r="529" spans="11:14" x14ac:dyDescent="0.3">
      <c r="K529"/>
      <c r="L529"/>
      <c r="M529"/>
      <c r="N529"/>
    </row>
    <row r="530" spans="11:14" x14ac:dyDescent="0.3">
      <c r="K530"/>
      <c r="L530"/>
      <c r="M530"/>
      <c r="N530"/>
    </row>
    <row r="531" spans="11:14" x14ac:dyDescent="0.3">
      <c r="K531"/>
      <c r="L531"/>
      <c r="M531"/>
      <c r="N531"/>
    </row>
    <row r="532" spans="11:14" x14ac:dyDescent="0.3">
      <c r="K532"/>
      <c r="L532"/>
      <c r="M532"/>
      <c r="N532"/>
    </row>
    <row r="533" spans="11:14" x14ac:dyDescent="0.3">
      <c r="K533"/>
      <c r="L533"/>
      <c r="M533"/>
      <c r="N533"/>
    </row>
    <row r="534" spans="11:14" x14ac:dyDescent="0.3">
      <c r="K534"/>
      <c r="L534"/>
      <c r="M534"/>
      <c r="N534"/>
    </row>
    <row r="535" spans="11:14" x14ac:dyDescent="0.3">
      <c r="K535"/>
      <c r="L535"/>
      <c r="M535"/>
      <c r="N535"/>
    </row>
    <row r="536" spans="11:14" x14ac:dyDescent="0.3">
      <c r="K536"/>
      <c r="L536"/>
      <c r="M536"/>
      <c r="N536"/>
    </row>
    <row r="537" spans="11:14" x14ac:dyDescent="0.3">
      <c r="K537"/>
      <c r="L537"/>
      <c r="M537"/>
      <c r="N537"/>
    </row>
    <row r="538" spans="11:14" x14ac:dyDescent="0.3">
      <c r="K538"/>
      <c r="L538"/>
      <c r="M538"/>
      <c r="N538"/>
    </row>
    <row r="539" spans="11:14" x14ac:dyDescent="0.3">
      <c r="K539"/>
      <c r="L539"/>
      <c r="M539"/>
      <c r="N539"/>
    </row>
    <row r="540" spans="11:14" x14ac:dyDescent="0.3">
      <c r="K540"/>
      <c r="L540"/>
      <c r="M540"/>
      <c r="N540"/>
    </row>
    <row r="541" spans="11:14" x14ac:dyDescent="0.3">
      <c r="K541"/>
      <c r="L541"/>
      <c r="M541"/>
      <c r="N541"/>
    </row>
    <row r="542" spans="11:14" x14ac:dyDescent="0.3">
      <c r="K542"/>
      <c r="L542"/>
      <c r="M542"/>
      <c r="N542"/>
    </row>
    <row r="543" spans="11:14" x14ac:dyDescent="0.3">
      <c r="K543"/>
      <c r="L543"/>
      <c r="M543"/>
      <c r="N543"/>
    </row>
    <row r="544" spans="11:14" x14ac:dyDescent="0.3">
      <c r="K544"/>
      <c r="L544"/>
      <c r="M544"/>
      <c r="N544"/>
    </row>
    <row r="545" spans="11:14" x14ac:dyDescent="0.3">
      <c r="K545"/>
      <c r="L545"/>
      <c r="M545"/>
      <c r="N545"/>
    </row>
    <row r="546" spans="11:14" x14ac:dyDescent="0.3">
      <c r="K546"/>
      <c r="L546"/>
      <c r="M546"/>
      <c r="N546"/>
    </row>
    <row r="547" spans="11:14" x14ac:dyDescent="0.3">
      <c r="K547"/>
      <c r="L547"/>
      <c r="M547"/>
      <c r="N547"/>
    </row>
    <row r="548" spans="11:14" x14ac:dyDescent="0.3">
      <c r="K548"/>
      <c r="L548"/>
      <c r="M548"/>
      <c r="N548"/>
    </row>
    <row r="549" spans="11:14" x14ac:dyDescent="0.3">
      <c r="K549"/>
      <c r="L549"/>
      <c r="M549"/>
      <c r="N549"/>
    </row>
    <row r="550" spans="11:14" x14ac:dyDescent="0.3">
      <c r="K550"/>
      <c r="L550"/>
      <c r="M550"/>
      <c r="N550"/>
    </row>
    <row r="551" spans="11:14" x14ac:dyDescent="0.3">
      <c r="K551"/>
      <c r="L551"/>
      <c r="M551"/>
      <c r="N551"/>
    </row>
    <row r="552" spans="11:14" x14ac:dyDescent="0.3">
      <c r="K552"/>
      <c r="L552"/>
      <c r="M552"/>
      <c r="N552"/>
    </row>
    <row r="553" spans="11:14" x14ac:dyDescent="0.3">
      <c r="K553"/>
      <c r="L553"/>
      <c r="M553"/>
      <c r="N553"/>
    </row>
    <row r="554" spans="11:14" x14ac:dyDescent="0.3">
      <c r="K554"/>
      <c r="L554"/>
      <c r="M554"/>
      <c r="N554"/>
    </row>
    <row r="555" spans="11:14" x14ac:dyDescent="0.3">
      <c r="K555"/>
      <c r="L555"/>
      <c r="M555"/>
      <c r="N555"/>
    </row>
    <row r="556" spans="11:14" x14ac:dyDescent="0.3">
      <c r="K556"/>
      <c r="L556"/>
      <c r="M556"/>
      <c r="N556"/>
    </row>
    <row r="557" spans="11:14" x14ac:dyDescent="0.3">
      <c r="K557"/>
      <c r="L557"/>
      <c r="M557"/>
      <c r="N557"/>
    </row>
    <row r="558" spans="11:14" x14ac:dyDescent="0.3">
      <c r="K558"/>
      <c r="L558"/>
      <c r="M558"/>
      <c r="N558"/>
    </row>
    <row r="559" spans="11:14" x14ac:dyDescent="0.3">
      <c r="K559"/>
      <c r="L559"/>
      <c r="M559"/>
      <c r="N559"/>
    </row>
    <row r="560" spans="11:14" x14ac:dyDescent="0.3">
      <c r="K560"/>
      <c r="L560"/>
      <c r="M560"/>
      <c r="N560"/>
    </row>
    <row r="561" spans="11:14" x14ac:dyDescent="0.3">
      <c r="K561"/>
      <c r="L561"/>
      <c r="M561"/>
      <c r="N561"/>
    </row>
    <row r="562" spans="11:14" x14ac:dyDescent="0.3">
      <c r="K562"/>
      <c r="L562"/>
      <c r="M562"/>
      <c r="N562"/>
    </row>
    <row r="563" spans="11:14" x14ac:dyDescent="0.3">
      <c r="K563"/>
      <c r="L563"/>
      <c r="M563"/>
      <c r="N563"/>
    </row>
    <row r="564" spans="11:14" x14ac:dyDescent="0.3">
      <c r="K564"/>
      <c r="L564"/>
      <c r="M564"/>
      <c r="N564"/>
    </row>
    <row r="565" spans="11:14" x14ac:dyDescent="0.3">
      <c r="K565"/>
      <c r="L565"/>
      <c r="M565"/>
      <c r="N565"/>
    </row>
    <row r="566" spans="11:14" x14ac:dyDescent="0.3">
      <c r="K566"/>
      <c r="L566"/>
      <c r="M566"/>
      <c r="N566"/>
    </row>
    <row r="567" spans="11:14" x14ac:dyDescent="0.3">
      <c r="K567"/>
      <c r="L567"/>
      <c r="M567"/>
      <c r="N567"/>
    </row>
    <row r="568" spans="11:14" x14ac:dyDescent="0.3">
      <c r="K568"/>
      <c r="L568"/>
      <c r="M568"/>
      <c r="N568"/>
    </row>
    <row r="569" spans="11:14" x14ac:dyDescent="0.3">
      <c r="K569"/>
      <c r="L569"/>
      <c r="M569"/>
      <c r="N569"/>
    </row>
    <row r="570" spans="11:14" x14ac:dyDescent="0.3">
      <c r="K570"/>
      <c r="L570"/>
      <c r="M570"/>
      <c r="N570"/>
    </row>
    <row r="571" spans="11:14" x14ac:dyDescent="0.3">
      <c r="K571"/>
      <c r="L571"/>
      <c r="M571"/>
      <c r="N571"/>
    </row>
    <row r="572" spans="11:14" x14ac:dyDescent="0.3">
      <c r="K572"/>
      <c r="L572"/>
      <c r="M572"/>
      <c r="N572"/>
    </row>
    <row r="573" spans="11:14" x14ac:dyDescent="0.3">
      <c r="K573"/>
      <c r="L573"/>
      <c r="M573"/>
      <c r="N573"/>
    </row>
    <row r="574" spans="11:14" x14ac:dyDescent="0.3">
      <c r="K574"/>
      <c r="L574"/>
      <c r="M574"/>
      <c r="N574"/>
    </row>
    <row r="575" spans="11:14" x14ac:dyDescent="0.3">
      <c r="K575"/>
      <c r="L575"/>
      <c r="M575"/>
      <c r="N575"/>
    </row>
    <row r="576" spans="11:14" x14ac:dyDescent="0.3">
      <c r="K576"/>
      <c r="L576"/>
      <c r="M576"/>
      <c r="N576"/>
    </row>
    <row r="577" spans="11:14" x14ac:dyDescent="0.3">
      <c r="K577"/>
      <c r="L577"/>
      <c r="M577"/>
      <c r="N577"/>
    </row>
    <row r="578" spans="11:14" x14ac:dyDescent="0.3">
      <c r="K578"/>
      <c r="L578"/>
      <c r="M578"/>
      <c r="N578"/>
    </row>
    <row r="579" spans="11:14" x14ac:dyDescent="0.3">
      <c r="K579"/>
      <c r="L579"/>
      <c r="M579"/>
      <c r="N579"/>
    </row>
    <row r="580" spans="11:14" x14ac:dyDescent="0.3">
      <c r="K580"/>
      <c r="L580"/>
      <c r="M580"/>
      <c r="N580"/>
    </row>
    <row r="581" spans="11:14" x14ac:dyDescent="0.3">
      <c r="K581"/>
      <c r="L581"/>
      <c r="M581"/>
      <c r="N581"/>
    </row>
    <row r="582" spans="11:14" x14ac:dyDescent="0.3">
      <c r="K582"/>
      <c r="L582"/>
      <c r="M582"/>
      <c r="N582"/>
    </row>
    <row r="583" spans="11:14" x14ac:dyDescent="0.3">
      <c r="K583"/>
      <c r="L583"/>
      <c r="M583"/>
      <c r="N583"/>
    </row>
    <row r="584" spans="11:14" x14ac:dyDescent="0.3">
      <c r="K584"/>
      <c r="L584"/>
      <c r="M584"/>
      <c r="N584"/>
    </row>
    <row r="585" spans="11:14" x14ac:dyDescent="0.3">
      <c r="K585"/>
      <c r="L585"/>
      <c r="M585"/>
      <c r="N585"/>
    </row>
    <row r="586" spans="11:14" x14ac:dyDescent="0.3">
      <c r="K586"/>
      <c r="L586"/>
      <c r="M586"/>
      <c r="N586"/>
    </row>
    <row r="587" spans="11:14" x14ac:dyDescent="0.3">
      <c r="K587"/>
      <c r="L587"/>
      <c r="M587"/>
      <c r="N587"/>
    </row>
    <row r="588" spans="11:14" x14ac:dyDescent="0.3">
      <c r="K588"/>
      <c r="L588"/>
      <c r="M588"/>
      <c r="N588"/>
    </row>
    <row r="589" spans="11:14" x14ac:dyDescent="0.3">
      <c r="K589"/>
      <c r="L589"/>
      <c r="M589"/>
      <c r="N589"/>
    </row>
    <row r="590" spans="11:14" x14ac:dyDescent="0.3">
      <c r="K590"/>
      <c r="L590"/>
      <c r="M590"/>
      <c r="N590"/>
    </row>
    <row r="591" spans="11:14" x14ac:dyDescent="0.3">
      <c r="K591"/>
      <c r="L591"/>
      <c r="M591"/>
      <c r="N591"/>
    </row>
    <row r="592" spans="11:14" x14ac:dyDescent="0.3">
      <c r="K592"/>
      <c r="L592"/>
      <c r="M592"/>
      <c r="N592"/>
    </row>
    <row r="593" spans="11:14" x14ac:dyDescent="0.3">
      <c r="K593"/>
      <c r="L593"/>
      <c r="M593"/>
      <c r="N593"/>
    </row>
    <row r="594" spans="11:14" x14ac:dyDescent="0.3">
      <c r="K594"/>
      <c r="L594"/>
      <c r="M594"/>
      <c r="N594"/>
    </row>
    <row r="595" spans="11:14" x14ac:dyDescent="0.3">
      <c r="K595"/>
      <c r="L595"/>
      <c r="M595"/>
      <c r="N595"/>
    </row>
    <row r="596" spans="11:14" x14ac:dyDescent="0.3">
      <c r="K596"/>
      <c r="L596"/>
      <c r="M596"/>
      <c r="N596"/>
    </row>
    <row r="597" spans="11:14" x14ac:dyDescent="0.3">
      <c r="K597"/>
      <c r="L597"/>
      <c r="M597"/>
      <c r="N597"/>
    </row>
    <row r="598" spans="11:14" x14ac:dyDescent="0.3">
      <c r="K598"/>
      <c r="L598"/>
      <c r="M598"/>
      <c r="N598"/>
    </row>
    <row r="599" spans="11:14" x14ac:dyDescent="0.3">
      <c r="K599"/>
      <c r="L599"/>
      <c r="M599"/>
      <c r="N599"/>
    </row>
    <row r="600" spans="11:14" x14ac:dyDescent="0.3">
      <c r="K600"/>
      <c r="L600"/>
      <c r="M600"/>
      <c r="N600"/>
    </row>
    <row r="601" spans="11:14" x14ac:dyDescent="0.3">
      <c r="K601"/>
      <c r="L601"/>
      <c r="M601"/>
      <c r="N601"/>
    </row>
    <row r="602" spans="11:14" x14ac:dyDescent="0.3">
      <c r="K602"/>
      <c r="L602"/>
      <c r="M602"/>
      <c r="N602"/>
    </row>
  </sheetData>
  <mergeCells count="8">
    <mergeCell ref="A74:H74"/>
    <mergeCell ref="A75:H75"/>
    <mergeCell ref="A76:H76"/>
    <mergeCell ref="A77:H77"/>
    <mergeCell ref="A1:I1"/>
    <mergeCell ref="A71:H71"/>
    <mergeCell ref="A72:H72"/>
    <mergeCell ref="A73:H73"/>
  </mergeCells>
  <conditionalFormatting sqref="G61:G67">
    <cfRule type="cellIs" dxfId="3" priority="2" operator="equal">
      <formula>"PASS"</formula>
    </cfRule>
    <cfRule type="cellIs" dxfId="2" priority="3" operator="equal">
      <formula>"ALL PASS"</formula>
    </cfRule>
    <cfRule type="cellIs" dxfId="1" priority="4" operator="equal">
      <formula>"CHECK"</formula>
    </cfRule>
    <cfRule type="cellIs" dxfId="0" priority="5" operator="equal">
      <formula>"REVIEW"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10B981"/>
    <pageSetUpPr fitToPage="1"/>
  </sheetPr>
  <dimension ref="A1:F37"/>
  <sheetViews>
    <sheetView showGridLines="0" zoomScaleNormal="100" workbookViewId="0">
      <pane ySplit="2" topLeftCell="A22" activePane="bottomLeft" state="frozen"/>
      <selection pane="bottomLeft" activeCell="A37" sqref="A37:XFD37"/>
    </sheetView>
  </sheetViews>
  <sheetFormatPr defaultColWidth="8.6640625" defaultRowHeight="14.4" x14ac:dyDescent="0.3"/>
  <cols>
    <col min="1" max="1" width="13" customWidth="1"/>
    <col min="2" max="2" width="12" customWidth="1"/>
    <col min="3" max="3" width="67.5546875" bestFit="1" customWidth="1"/>
    <col min="4" max="4" width="24" customWidth="1"/>
    <col min="5" max="5" width="22" customWidth="1"/>
    <col min="6" max="6" width="60" customWidth="1"/>
  </cols>
  <sheetData>
    <row r="1" spans="1:6" ht="30" customHeight="1" x14ac:dyDescent="0.3">
      <c r="A1" s="113" t="s">
        <v>286</v>
      </c>
      <c r="B1" s="113"/>
      <c r="C1" s="113"/>
      <c r="D1" s="113"/>
      <c r="E1" s="113"/>
      <c r="F1" s="113"/>
    </row>
    <row r="2" spans="1:6" ht="25.5" customHeight="1" x14ac:dyDescent="0.3">
      <c r="A2" s="45" t="s">
        <v>238</v>
      </c>
      <c r="B2" s="45" t="s">
        <v>11</v>
      </c>
      <c r="C2" s="45" t="s">
        <v>239</v>
      </c>
      <c r="D2" s="45" t="s">
        <v>240</v>
      </c>
      <c r="E2" s="45" t="s">
        <v>241</v>
      </c>
      <c r="F2" s="45" t="s">
        <v>242</v>
      </c>
    </row>
    <row r="3" spans="1:6" ht="19.5" customHeight="1" x14ac:dyDescent="0.3">
      <c r="A3" s="62" t="s">
        <v>243</v>
      </c>
      <c r="B3" s="62" t="s">
        <v>18</v>
      </c>
      <c r="C3" s="63" t="str">
        <f>Raw_BRSR_Data!C88</f>
        <v>Co-Generation - 25 TPH Steam and 1.5 MW Power</v>
      </c>
      <c r="D3" s="69" t="s">
        <v>244</v>
      </c>
      <c r="E3" s="66">
        <f>Raw_BRSR_Data!H88</f>
        <v>2000000</v>
      </c>
      <c r="F3" s="63" t="str">
        <f t="shared" ref="F3:F23" si="0">"kWh | "&amp;TEXT(E3/SUMIFS($E$3:$E$30,$B$3:$B$30,B3),"0.0%")&amp;" of FY 2025-26 energy total"</f>
        <v>kWh | 52.8% of FY 2025-26 energy total</v>
      </c>
    </row>
    <row r="4" spans="1:6" ht="19.5" customHeight="1" x14ac:dyDescent="0.3">
      <c r="A4" s="64" t="s">
        <v>245</v>
      </c>
      <c r="B4" s="64" t="s">
        <v>18</v>
      </c>
      <c r="C4" s="65" t="str">
        <f>Raw_BRSR_Data!C89</f>
        <v>Self-consumed electrical energy reduction in CoGen Plant by 12%</v>
      </c>
      <c r="D4" s="65" t="s">
        <v>246</v>
      </c>
      <c r="E4" s="67">
        <f>Raw_BRSR_Data!H89</f>
        <v>450000</v>
      </c>
      <c r="F4" s="65" t="str">
        <f t="shared" si="0"/>
        <v>kWh | 11.9% of FY 2025-26 energy total</v>
      </c>
    </row>
    <row r="5" spans="1:6" ht="19.5" customHeight="1" x14ac:dyDescent="0.3">
      <c r="A5" s="62" t="s">
        <v>247</v>
      </c>
      <c r="B5" s="62" t="s">
        <v>18</v>
      </c>
      <c r="C5" s="63" t="str">
        <f>Raw_BRSR_Data!C90</f>
        <v>Air Compressor Specific Power Reduction by 25% for GERC Malanpur</v>
      </c>
      <c r="D5" s="63" t="s">
        <v>248</v>
      </c>
      <c r="E5" s="66">
        <f>Raw_BRSR_Data!H90</f>
        <v>240000</v>
      </c>
      <c r="F5" s="63" t="str">
        <f t="shared" si="0"/>
        <v>kWh | 6.3% of FY 2025-26 energy total</v>
      </c>
    </row>
    <row r="6" spans="1:6" ht="19.5" customHeight="1" x14ac:dyDescent="0.3">
      <c r="A6" s="64" t="s">
        <v>249</v>
      </c>
      <c r="B6" s="64" t="s">
        <v>18</v>
      </c>
      <c r="C6" s="65" t="str">
        <f>Raw_BRSR_Data!C91</f>
        <v>Dedicated Brine chiller for Unit 2</v>
      </c>
      <c r="D6" s="65" t="s">
        <v>250</v>
      </c>
      <c r="E6" s="67">
        <f>Raw_BRSR_Data!H91</f>
        <v>210000</v>
      </c>
      <c r="F6" s="65" t="str">
        <f t="shared" si="0"/>
        <v>kWh | 5.5% of FY 2025-26 energy total</v>
      </c>
    </row>
    <row r="7" spans="1:6" ht="19.5" customHeight="1" x14ac:dyDescent="0.3">
      <c r="A7" s="62" t="s">
        <v>251</v>
      </c>
      <c r="B7" s="62" t="s">
        <v>18</v>
      </c>
      <c r="C7" s="63" t="str">
        <f>Raw_BRSR_Data!C92</f>
        <v>Chiller replacement 110 TR by energy efficient 130 TR</v>
      </c>
      <c r="D7" s="69" t="s">
        <v>244</v>
      </c>
      <c r="E7" s="66">
        <f>Raw_BRSR_Data!H92</f>
        <v>200000</v>
      </c>
      <c r="F7" s="63" t="str">
        <f t="shared" si="0"/>
        <v>kWh | 5.3% of FY 2025-26 energy total</v>
      </c>
    </row>
    <row r="8" spans="1:6" ht="19.5" customHeight="1" x14ac:dyDescent="0.3">
      <c r="A8" s="64" t="s">
        <v>252</v>
      </c>
      <c r="B8" s="64" t="s">
        <v>18</v>
      </c>
      <c r="C8" s="65" t="str">
        <f>Raw_BRSR_Data!C93</f>
        <v>Energy Efficient Shrink Tunnel Machine Installation</v>
      </c>
      <c r="D8" s="69" t="s">
        <v>244</v>
      </c>
      <c r="E8" s="67">
        <f>Raw_BRSR_Data!H93</f>
        <v>104706</v>
      </c>
      <c r="F8" s="65" t="str">
        <f t="shared" si="0"/>
        <v>kWh | 2.8% of FY 2025-26 energy total</v>
      </c>
    </row>
    <row r="9" spans="1:6" ht="19.5" customHeight="1" x14ac:dyDescent="0.3">
      <c r="A9" s="62" t="s">
        <v>253</v>
      </c>
      <c r="B9" s="62" t="s">
        <v>18</v>
      </c>
      <c r="C9" s="63" t="str">
        <f>Raw_BRSR_Data!C94</f>
        <v>Energy Efficient Wall Fans Installation</v>
      </c>
      <c r="D9" s="69" t="s">
        <v>244</v>
      </c>
      <c r="E9" s="66">
        <f>Raw_BRSR_Data!H94</f>
        <v>100000</v>
      </c>
      <c r="F9" s="63" t="str">
        <f t="shared" si="0"/>
        <v>kWh | 2.6% of FY 2025-26 energy total</v>
      </c>
    </row>
    <row r="10" spans="1:6" ht="19.5" customHeight="1" x14ac:dyDescent="0.3">
      <c r="A10" s="64" t="s">
        <v>254</v>
      </c>
      <c r="B10" s="64" t="s">
        <v>18</v>
      </c>
      <c r="C10" s="65" t="str">
        <f>Raw_BRSR_Data!C95</f>
        <v>Eliminated spiral conveyor &amp; installed flat conveyor for packing</v>
      </c>
      <c r="D10" s="69" t="s">
        <v>244</v>
      </c>
      <c r="E10" s="67">
        <f>Raw_BRSR_Data!H95</f>
        <v>92400</v>
      </c>
      <c r="F10" s="65" t="str">
        <f t="shared" si="0"/>
        <v>kWh | 2.4% of FY 2025-26 energy total</v>
      </c>
    </row>
    <row r="11" spans="1:6" ht="19.5" customHeight="1" x14ac:dyDescent="0.3">
      <c r="A11" s="62" t="s">
        <v>255</v>
      </c>
      <c r="B11" s="62" t="s">
        <v>18</v>
      </c>
      <c r="C11" s="63" t="str">
        <f>Raw_BRSR_Data!C96</f>
        <v>Energy Efficient Exhaust Fans Installation</v>
      </c>
      <c r="D11" s="69" t="s">
        <v>244</v>
      </c>
      <c r="E11" s="66">
        <f>Raw_BRSR_Data!H96</f>
        <v>83047</v>
      </c>
      <c r="F11" s="63" t="str">
        <f t="shared" si="0"/>
        <v>kWh | 2.2% of FY 2025-26 energy total</v>
      </c>
    </row>
    <row r="12" spans="1:6" ht="19.5" customHeight="1" x14ac:dyDescent="0.3">
      <c r="A12" s="64" t="s">
        <v>256</v>
      </c>
      <c r="B12" s="64" t="s">
        <v>18</v>
      </c>
      <c r="C12" s="65" t="str">
        <f>Raw_BRSR_Data!C97</f>
        <v>Interlocking of S conveyor with wrapping machine</v>
      </c>
      <c r="D12" s="69" t="s">
        <v>244</v>
      </c>
      <c r="E12" s="67">
        <f>Raw_BRSR_Data!H97</f>
        <v>61600</v>
      </c>
      <c r="F12" s="65" t="str">
        <f t="shared" si="0"/>
        <v>kWh | 1.6% of FY 2025-26 energy total</v>
      </c>
    </row>
    <row r="13" spans="1:6" ht="19.5" customHeight="1" x14ac:dyDescent="0.3">
      <c r="A13" s="62" t="s">
        <v>257</v>
      </c>
      <c r="B13" s="62" t="s">
        <v>18</v>
      </c>
      <c r="C13" s="63" t="str">
        <f>Raw_BRSR_Data!C98</f>
        <v>Chiller and CT interlocking in GERC</v>
      </c>
      <c r="D13" s="63" t="s">
        <v>258</v>
      </c>
      <c r="E13" s="66">
        <f>Raw_BRSR_Data!H98</f>
        <v>50000</v>
      </c>
      <c r="F13" s="63" t="str">
        <f t="shared" si="0"/>
        <v>kWh | 1.3% of FY 2025-26 energy total</v>
      </c>
    </row>
    <row r="14" spans="1:6" ht="19.5" customHeight="1" x14ac:dyDescent="0.3">
      <c r="A14" s="64" t="s">
        <v>259</v>
      </c>
      <c r="B14" s="64" t="s">
        <v>18</v>
      </c>
      <c r="C14" s="65" t="str">
        <f>Raw_BRSR_Data!C99</f>
        <v>37KW mixer motor replaced with 30kw motor</v>
      </c>
      <c r="D14" s="69" t="s">
        <v>244</v>
      </c>
      <c r="E14" s="67">
        <f>Raw_BRSR_Data!H99</f>
        <v>44100</v>
      </c>
      <c r="F14" s="65" t="str">
        <f t="shared" si="0"/>
        <v>kWh | 1.2% of FY 2025-26 energy total</v>
      </c>
    </row>
    <row r="15" spans="1:6" ht="19.5" customHeight="1" x14ac:dyDescent="0.3">
      <c r="A15" s="62" t="s">
        <v>260</v>
      </c>
      <c r="B15" s="62" t="s">
        <v>18</v>
      </c>
      <c r="C15" s="63" t="str">
        <f>Raw_BRSR_Data!C100</f>
        <v>VFD installation on water chiller for power utilization</v>
      </c>
      <c r="D15" s="69" t="s">
        <v>244</v>
      </c>
      <c r="E15" s="66">
        <f>Raw_BRSR_Data!H100</f>
        <v>25596</v>
      </c>
      <c r="F15" s="63" t="str">
        <f t="shared" si="0"/>
        <v>kWh | 0.7% of FY 2025-26 energy total</v>
      </c>
    </row>
    <row r="16" spans="1:6" ht="19.5" customHeight="1" x14ac:dyDescent="0.3">
      <c r="A16" s="64" t="s">
        <v>261</v>
      </c>
      <c r="B16" s="64" t="s">
        <v>18</v>
      </c>
      <c r="C16" s="65" t="str">
        <f>Raw_BRSR_Data!C101</f>
        <v>Installed timer in admin and Lab AC unit</v>
      </c>
      <c r="D16" s="69" t="s">
        <v>244</v>
      </c>
      <c r="E16" s="67">
        <f>Raw_BRSR_Data!H101</f>
        <v>25200</v>
      </c>
      <c r="F16" s="65" t="str">
        <f t="shared" si="0"/>
        <v>kWh | 0.7% of FY 2025-26 energy total</v>
      </c>
    </row>
    <row r="17" spans="1:6" ht="19.5" customHeight="1" x14ac:dyDescent="0.3">
      <c r="A17" s="62" t="s">
        <v>262</v>
      </c>
      <c r="B17" s="62" t="s">
        <v>18</v>
      </c>
      <c r="C17" s="63" t="str">
        <f>Raw_BRSR_Data!C102</f>
        <v>Eliminated 6 small conveyors from Line by layout correction</v>
      </c>
      <c r="D17" s="69" t="s">
        <v>244</v>
      </c>
      <c r="E17" s="66">
        <f>Raw_BRSR_Data!H102</f>
        <v>23100</v>
      </c>
      <c r="F17" s="63" t="str">
        <f t="shared" si="0"/>
        <v>kWh | 0.6% of FY 2025-26 energy total</v>
      </c>
    </row>
    <row r="18" spans="1:6" ht="19.5" customHeight="1" x14ac:dyDescent="0.3">
      <c r="A18" s="64" t="s">
        <v>263</v>
      </c>
      <c r="B18" s="64" t="s">
        <v>18</v>
      </c>
      <c r="C18" s="65" t="str">
        <f>Raw_BRSR_Data!C103</f>
        <v>Energy efficient fan for process cooling towers</v>
      </c>
      <c r="D18" s="69" t="s">
        <v>244</v>
      </c>
      <c r="E18" s="67">
        <f>Raw_BRSR_Data!H103</f>
        <v>23016</v>
      </c>
      <c r="F18" s="65" t="str">
        <f t="shared" si="0"/>
        <v>kWh | 0.6% of FY 2025-26 energy total</v>
      </c>
    </row>
    <row r="19" spans="1:6" ht="19.5" customHeight="1" x14ac:dyDescent="0.3">
      <c r="A19" s="62" t="s">
        <v>264</v>
      </c>
      <c r="B19" s="62" t="s">
        <v>18</v>
      </c>
      <c r="C19" s="63" t="str">
        <f>Raw_BRSR_Data!C104</f>
        <v>Replacement of motor &amp; blower with EC fan motor in micro lab AHU</v>
      </c>
      <c r="D19" s="69" t="s">
        <v>244</v>
      </c>
      <c r="E19" s="66">
        <f>Raw_BRSR_Data!H104</f>
        <v>15840</v>
      </c>
      <c r="F19" s="63" t="str">
        <f t="shared" si="0"/>
        <v>kWh | 0.4% of FY 2025-26 energy total</v>
      </c>
    </row>
    <row r="20" spans="1:6" ht="19.5" customHeight="1" x14ac:dyDescent="0.3">
      <c r="A20" s="64" t="s">
        <v>265</v>
      </c>
      <c r="B20" s="64" t="s">
        <v>18</v>
      </c>
      <c r="C20" s="65" t="str">
        <f>Raw_BRSR_Data!C105</f>
        <v>Chilling water circulation 5kw pump replaced with 3kw pump</v>
      </c>
      <c r="D20" s="69" t="s">
        <v>244</v>
      </c>
      <c r="E20" s="67">
        <f>Raw_BRSR_Data!H105</f>
        <v>15400</v>
      </c>
      <c r="F20" s="65" t="str">
        <f t="shared" si="0"/>
        <v>kWh | 0.4% of FY 2025-26 energy total</v>
      </c>
    </row>
    <row r="21" spans="1:6" ht="19.5" customHeight="1" x14ac:dyDescent="0.3">
      <c r="A21" s="62" t="s">
        <v>266</v>
      </c>
      <c r="B21" s="62" t="s">
        <v>18</v>
      </c>
      <c r="C21" s="63" t="str">
        <f>Raw_BRSR_Data!C106</f>
        <v>Replacement of wall mounted fans with HVLS fan on shop floor</v>
      </c>
      <c r="D21" s="69" t="s">
        <v>244</v>
      </c>
      <c r="E21" s="66">
        <f>Raw_BRSR_Data!H106</f>
        <v>12144</v>
      </c>
      <c r="F21" s="63" t="str">
        <f t="shared" si="0"/>
        <v>kWh | 0.3% of FY 2025-26 energy total</v>
      </c>
    </row>
    <row r="22" spans="1:6" ht="19.5" customHeight="1" x14ac:dyDescent="0.3">
      <c r="A22" s="64" t="s">
        <v>267</v>
      </c>
      <c r="B22" s="64" t="s">
        <v>18</v>
      </c>
      <c r="C22" s="65" t="str">
        <f>Raw_BRSR_Data!C107</f>
        <v>Water Preheating system through HAG 2 flue gas</v>
      </c>
      <c r="D22" s="69" t="s">
        <v>244</v>
      </c>
      <c r="E22" s="67">
        <f>Raw_BRSR_Data!H107</f>
        <v>5328</v>
      </c>
      <c r="F22" s="65" t="str">
        <f t="shared" si="0"/>
        <v>kWh | 0.1% of FY 2025-26 energy total</v>
      </c>
    </row>
    <row r="23" spans="1:6" ht="19.5" customHeight="1" x14ac:dyDescent="0.3">
      <c r="A23" s="62" t="s">
        <v>268</v>
      </c>
      <c r="B23" s="62" t="s">
        <v>18</v>
      </c>
      <c r="C23" s="63" t="str">
        <f>Raw_BRSR_Data!C108</f>
        <v>IE 2 to IE 4 energy saving motor changed</v>
      </c>
      <c r="D23" s="69" t="s">
        <v>244</v>
      </c>
      <c r="E23" s="66">
        <f>Raw_BRSR_Data!H108</f>
        <v>3599</v>
      </c>
      <c r="F23" s="63" t="str">
        <f t="shared" si="0"/>
        <v>kWh | 0.1% of FY 2025-26 energy total</v>
      </c>
    </row>
    <row r="24" spans="1:6" ht="19.5" customHeight="1" x14ac:dyDescent="0.3">
      <c r="A24" s="64" t="s">
        <v>269</v>
      </c>
      <c r="B24" s="64" t="s">
        <v>27</v>
      </c>
      <c r="C24" s="65" t="str">
        <f>Raw_BRSR_Data!C110</f>
        <v>Reused for Cogen RO Reject water of TDS around 500</v>
      </c>
      <c r="D24" s="65" t="s">
        <v>270</v>
      </c>
      <c r="E24" s="67">
        <f>Raw_BRSR_Data!H110</f>
        <v>15000</v>
      </c>
      <c r="F24" s="65" t="str">
        <f>"KL | "&amp;TEXT(E24/SUMIFS($E$3:$E$30,$B$3:$B$30,B24),"0.0%")&amp;" of FY 2025-26 water total"</f>
        <v>KL | 41.3% of FY 2025-26 water total</v>
      </c>
    </row>
    <row r="25" spans="1:6" ht="19.5" customHeight="1" x14ac:dyDescent="0.3">
      <c r="A25" s="62" t="s">
        <v>271</v>
      </c>
      <c r="B25" s="62" t="s">
        <v>27</v>
      </c>
      <c r="C25" s="63" t="str">
        <f>Raw_BRSR_Data!C111</f>
        <v>All taps replaced with water efficient taps in Malanpur plant</v>
      </c>
      <c r="D25" s="63" t="s">
        <v>272</v>
      </c>
      <c r="E25" s="66">
        <f>Raw_BRSR_Data!H111</f>
        <v>9900</v>
      </c>
      <c r="F25" s="63" t="str">
        <f>"KL | "&amp;TEXT(E25/SUMIFS($E$3:$E$30,$B$3:$B$30,B25),"0.0%")&amp;" of FY 2025-26 water total"</f>
        <v>KL | 27.3% of FY 2025-26 water total</v>
      </c>
    </row>
    <row r="26" spans="1:6" ht="19.5" customHeight="1" x14ac:dyDescent="0.3">
      <c r="A26" s="64" t="s">
        <v>273</v>
      </c>
      <c r="B26" s="64" t="s">
        <v>27</v>
      </c>
      <c r="C26" s="65" t="str">
        <f>Raw_BRSR_Data!C112</f>
        <v>Condensate water reuse in CSP/New CSP</v>
      </c>
      <c r="D26" s="65" t="s">
        <v>274</v>
      </c>
      <c r="E26" s="67">
        <f>Raw_BRSR_Data!H112</f>
        <v>6000</v>
      </c>
      <c r="F26" s="65" t="str">
        <f>"KL | "&amp;TEXT(E26/SUMIFS($E$3:$E$30,$B$3:$B$30,B26),"0.0%")&amp;" of FY 2025-26 water total"</f>
        <v>KL | 16.5% of FY 2025-26 water total</v>
      </c>
    </row>
    <row r="27" spans="1:6" ht="19.5" customHeight="1" x14ac:dyDescent="0.3">
      <c r="A27" s="62" t="s">
        <v>275</v>
      </c>
      <c r="B27" s="62" t="s">
        <v>27</v>
      </c>
      <c r="C27" s="63" t="str">
        <f>Raw_BRSR_Data!C113</f>
        <v>Turbine blowdown condensate water reutilisation in Cogen</v>
      </c>
      <c r="D27" s="63" t="s">
        <v>270</v>
      </c>
      <c r="E27" s="66">
        <f>Raw_BRSR_Data!H113</f>
        <v>3240</v>
      </c>
      <c r="F27" s="63" t="str">
        <f>"KL | "&amp;TEXT(E27/SUMIFS($E$3:$E$30,$B$3:$B$30,B27),"0.0%")&amp;" of FY 2025-26 water total"</f>
        <v>KL | 8.9% of FY 2025-26 water total</v>
      </c>
    </row>
    <row r="28" spans="1:6" ht="19.5" customHeight="1" x14ac:dyDescent="0.3">
      <c r="A28" s="64" t="s">
        <v>276</v>
      </c>
      <c r="B28" s="64" t="s">
        <v>27</v>
      </c>
      <c r="C28" s="65" t="str">
        <f>Raw_BRSR_Data!C114</f>
        <v>Reclaimed Filter Backwash at Water Treatment Plant</v>
      </c>
      <c r="D28" s="65" t="s">
        <v>277</v>
      </c>
      <c r="E28" s="67">
        <f>Raw_BRSR_Data!H114</f>
        <v>2160</v>
      </c>
      <c r="F28" s="65" t="str">
        <f>"KL | "&amp;TEXT(E28/SUMIFS($E$3:$E$30,$B$3:$B$30,B28),"0.0%")&amp;" of FY 2025-26 water total"</f>
        <v>KL | 6.0% of FY 2025-26 water total</v>
      </c>
    </row>
    <row r="29" spans="1:6" ht="19.5" hidden="1" customHeight="1" x14ac:dyDescent="0.3">
      <c r="A29" s="5" t="s">
        <v>278</v>
      </c>
      <c r="B29" s="5" t="s">
        <v>279</v>
      </c>
      <c r="C29" s="7" t="str">
        <f>Raw_BRSR_Data!C116</f>
        <v>Electric Boiler for Ilicit</v>
      </c>
      <c r="D29" s="8" t="s">
        <v>244</v>
      </c>
      <c r="E29" s="9">
        <f>Raw_BRSR_Data!H116</f>
        <v>11467</v>
      </c>
      <c r="F29" s="6" t="str">
        <f>"Unit not stated in source | "&amp;TEXT(E29/SUMIFS($E$3:$E$30,$B$3:$B$30,B29),"0.0%")&amp;" of FY 2025-26 fuel total"</f>
        <v>Unit not stated in source | 81.3% of FY 2025-26 fuel total</v>
      </c>
    </row>
    <row r="30" spans="1:6" ht="19.5" hidden="1" customHeight="1" x14ac:dyDescent="0.3">
      <c r="A30" s="3" t="s">
        <v>280</v>
      </c>
      <c r="B30" s="3" t="s">
        <v>279</v>
      </c>
      <c r="C30" s="10" t="str">
        <f>Raw_BRSR_Data!C117</f>
        <v>Usage of Biodiesel in Boiler</v>
      </c>
      <c r="D30" s="11" t="s">
        <v>281</v>
      </c>
      <c r="E30" s="12">
        <f>Raw_BRSR_Data!H117</f>
        <v>2636</v>
      </c>
      <c r="F30" s="4" t="str">
        <f>"Unit not stated in source | "&amp;TEXT(E30/SUMIFS($E$3:$E$30,$B$3:$B$30,B30),"0.0%")&amp;" of FY 2025-26 fuel total"</f>
        <v>Unit not stated in source | 18.7% of FY 2025-26 fuel total</v>
      </c>
    </row>
    <row r="31" spans="1:6" x14ac:dyDescent="0.3">
      <c r="A31" s="68"/>
      <c r="B31" s="68"/>
      <c r="C31" s="68"/>
      <c r="D31" s="68"/>
      <c r="E31" s="68"/>
      <c r="F31" s="68"/>
    </row>
    <row r="32" spans="1:6" ht="15.6" x14ac:dyDescent="0.3">
      <c r="A32" s="61" t="s">
        <v>282</v>
      </c>
      <c r="B32" s="43"/>
      <c r="C32" s="43"/>
      <c r="D32" s="43"/>
      <c r="E32" s="43"/>
      <c r="F32" s="43"/>
    </row>
    <row r="33" spans="1:6" ht="25.5" customHeight="1" x14ac:dyDescent="0.3">
      <c r="A33" s="45" t="s">
        <v>11</v>
      </c>
      <c r="B33" s="45" t="s">
        <v>206</v>
      </c>
      <c r="C33" s="45" t="s">
        <v>207</v>
      </c>
      <c r="D33" s="45" t="s">
        <v>283</v>
      </c>
      <c r="E33" s="45" t="s">
        <v>284</v>
      </c>
      <c r="F33" s="43"/>
    </row>
    <row r="34" spans="1:6" ht="15.6" x14ac:dyDescent="0.3">
      <c r="A34" s="70" t="s">
        <v>18</v>
      </c>
      <c r="B34" s="56">
        <f>COUNTIFS($B$3:$B$30,A34)</f>
        <v>21</v>
      </c>
      <c r="C34" s="56">
        <f>SUMIFS($E$3:$E$30,$B$3:$B$30,A34)</f>
        <v>3785076</v>
      </c>
      <c r="D34" s="71">
        <f>Raw_BRSR_Data!H109</f>
        <v>3785076</v>
      </c>
      <c r="E34" s="56">
        <f>C34-D34</f>
        <v>0</v>
      </c>
      <c r="F34" s="43"/>
    </row>
    <row r="35" spans="1:6" ht="15.6" x14ac:dyDescent="0.3">
      <c r="A35" s="70" t="s">
        <v>27</v>
      </c>
      <c r="B35" s="56">
        <f>COUNTIFS($B$3:$B$30,A35)</f>
        <v>5</v>
      </c>
      <c r="C35" s="56">
        <f>SUMIFS($E$3:$E$30,$B$3:$B$30,A35)</f>
        <v>36300</v>
      </c>
      <c r="D35" s="71">
        <f>Raw_BRSR_Data!H115</f>
        <v>36300</v>
      </c>
      <c r="E35" s="56">
        <f>C35-D35</f>
        <v>0</v>
      </c>
      <c r="F35" s="43"/>
    </row>
    <row r="36" spans="1:6" ht="15.6" x14ac:dyDescent="0.3">
      <c r="A36" s="70" t="s">
        <v>279</v>
      </c>
      <c r="B36" s="56">
        <f>COUNTIFS($B$3:$B$30,A36)</f>
        <v>2</v>
      </c>
      <c r="C36" s="56">
        <f>SUMIFS($E$3:$E$30,$B$3:$B$30,A36)</f>
        <v>14103</v>
      </c>
      <c r="D36" s="71">
        <f>Raw_BRSR_Data!H118</f>
        <v>14103</v>
      </c>
      <c r="E36" s="56">
        <f>C36-D36</f>
        <v>0</v>
      </c>
      <c r="F36" s="43"/>
    </row>
    <row r="37" spans="1:6" ht="15.6" x14ac:dyDescent="0.3">
      <c r="A37" s="46" t="s">
        <v>285</v>
      </c>
      <c r="B37" s="43"/>
      <c r="C37" s="43"/>
      <c r="D37" s="43"/>
      <c r="E37" s="43"/>
      <c r="F37" s="43"/>
    </row>
  </sheetData>
  <autoFilter ref="A2:F30" xr:uid="{00000000-0009-0000-0000-000003000000}">
    <filterColumn colId="1">
      <filters>
        <filter val="Energy"/>
        <filter val="Water"/>
      </filters>
    </filterColumn>
  </autoFilter>
  <mergeCells count="1">
    <mergeCell ref="A1:F1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Executive_Summary</vt:lpstr>
      <vt:lpstr>Raw_BRSR_Data</vt:lpstr>
      <vt:lpstr>Calculations</vt:lpstr>
      <vt:lpstr>Initiatives_Tracker</vt:lpstr>
      <vt:lpstr>Raw_BRSR_Data!Print_Titles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Hreethik Ram</dc:creator>
  <dc:description/>
  <cp:lastModifiedBy>Hreethik Ram</cp:lastModifiedBy>
  <cp:revision>1</cp:revision>
  <dcterms:created xsi:type="dcterms:W3CDTF">2026-10-25T13:35:49Z</dcterms:created>
  <dcterms:modified xsi:type="dcterms:W3CDTF">2026-10-27T16:25:59Z</dcterms:modified>
  <dc:language>en-US</dc:language>
</cp:coreProperties>
</file>